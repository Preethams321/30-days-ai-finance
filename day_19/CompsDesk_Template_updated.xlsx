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F868FD3-9036-42F2-BC7C-DCE9B10D96C3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Cover" sheetId="1" r:id="rId1"/>
    <sheet name="Peer Data" sheetId="2" r:id="rId2"/>
    <sheet name="Multiple Engine" sheetId="3" r:id="rId3"/>
    <sheet name="Statistics" sheetId="4" r:id="rId4"/>
    <sheet name="Target" sheetId="5" r:id="rId5"/>
    <sheet name="Implied Valuation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1" i="6" l="1"/>
  <c r="G20" i="6"/>
  <c r="G19" i="6"/>
  <c r="G18" i="6"/>
  <c r="B14" i="6"/>
  <c r="F7" i="6"/>
  <c r="F6" i="6"/>
  <c r="F5" i="6"/>
  <c r="F4" i="6"/>
  <c r="B20" i="5"/>
  <c r="B16" i="5"/>
  <c r="B14" i="5"/>
  <c r="B10" i="5"/>
  <c r="B7" i="5"/>
  <c r="B11" i="5" s="1"/>
  <c r="J9" i="3"/>
  <c r="I9" i="3" s="1"/>
  <c r="H9" i="3"/>
  <c r="E9" i="3"/>
  <c r="D9" i="3"/>
  <c r="B9" i="3"/>
  <c r="C9" i="3" s="1"/>
  <c r="A9" i="3"/>
  <c r="J8" i="3"/>
  <c r="I8" i="3"/>
  <c r="H8" i="3"/>
  <c r="E8" i="3"/>
  <c r="D8" i="3"/>
  <c r="B8" i="3"/>
  <c r="C8" i="3" s="1"/>
  <c r="A8" i="3"/>
  <c r="J7" i="3"/>
  <c r="I7" i="3"/>
  <c r="H7" i="3"/>
  <c r="E7" i="3"/>
  <c r="D7" i="3"/>
  <c r="B7" i="3"/>
  <c r="C7" i="3" s="1"/>
  <c r="A7" i="3"/>
  <c r="J6" i="3"/>
  <c r="I6" i="3"/>
  <c r="H6" i="3"/>
  <c r="D10" i="4" s="1"/>
  <c r="F20" i="6" s="1"/>
  <c r="E6" i="3"/>
  <c r="D6" i="3"/>
  <c r="C6" i="3"/>
  <c r="G6" i="3" s="1"/>
  <c r="B6" i="3"/>
  <c r="A6" i="3"/>
  <c r="J5" i="3"/>
  <c r="I5" i="3" s="1"/>
  <c r="H5" i="3"/>
  <c r="E5" i="3"/>
  <c r="D5" i="3"/>
  <c r="B5" i="3"/>
  <c r="C5" i="3" s="1"/>
  <c r="A5" i="3"/>
  <c r="J4" i="3"/>
  <c r="I4" i="3" s="1"/>
  <c r="H4" i="3"/>
  <c r="J9" i="4" s="1"/>
  <c r="G4" i="3"/>
  <c r="E4" i="3"/>
  <c r="D4" i="3"/>
  <c r="C4" i="3"/>
  <c r="F4" i="3" s="1"/>
  <c r="B4" i="3"/>
  <c r="A4" i="3"/>
  <c r="G8" i="3" l="1"/>
  <c r="F8" i="3"/>
  <c r="B10" i="4"/>
  <c r="F18" i="6" s="1"/>
  <c r="B9" i="4"/>
  <c r="E18" i="6" s="1"/>
  <c r="H7" i="4"/>
  <c r="H5" i="4"/>
  <c r="B5" i="4"/>
  <c r="B18" i="6" s="1"/>
  <c r="C10" i="4"/>
  <c r="F19" i="6" s="1"/>
  <c r="G9" i="3"/>
  <c r="F9" i="3"/>
  <c r="F5" i="3"/>
  <c r="G5" i="3"/>
  <c r="I5" i="4" s="1"/>
  <c r="E10" i="4"/>
  <c r="F21" i="6" s="1"/>
  <c r="E8" i="4"/>
  <c r="E6" i="4"/>
  <c r="C21" i="6" s="1"/>
  <c r="K9" i="4"/>
  <c r="K7" i="4"/>
  <c r="K5" i="4"/>
  <c r="E9" i="4"/>
  <c r="E21" i="6" s="1"/>
  <c r="E7" i="4"/>
  <c r="E5" i="4"/>
  <c r="B21" i="6" s="1"/>
  <c r="K10" i="4"/>
  <c r="K8" i="4"/>
  <c r="K6" i="4"/>
  <c r="F7" i="3"/>
  <c r="G7" i="3"/>
  <c r="D5" i="4"/>
  <c r="B20" i="6" s="1"/>
  <c r="D6" i="4"/>
  <c r="C20" i="6" s="1"/>
  <c r="D8" i="4"/>
  <c r="F6" i="3"/>
  <c r="H9" i="4" s="1"/>
  <c r="I6" i="4"/>
  <c r="I8" i="4"/>
  <c r="I10" i="4"/>
  <c r="J6" i="4"/>
  <c r="J8" i="4"/>
  <c r="J10" i="4"/>
  <c r="C5" i="4"/>
  <c r="B19" i="6" s="1"/>
  <c r="C7" i="4"/>
  <c r="C9" i="4"/>
  <c r="E19" i="6" s="1"/>
  <c r="D9" i="4"/>
  <c r="E20" i="6" s="1"/>
  <c r="J5" i="4"/>
  <c r="J7" i="4"/>
  <c r="D7" i="4"/>
  <c r="C6" i="4"/>
  <c r="C19" i="6" s="1"/>
  <c r="C8" i="4"/>
  <c r="B6" i="4" l="1"/>
  <c r="C18" i="6" s="1"/>
  <c r="D7" i="6"/>
  <c r="D21" i="6"/>
  <c r="C7" i="6"/>
  <c r="B7" i="6"/>
  <c r="B8" i="4"/>
  <c r="B7" i="4"/>
  <c r="H6" i="4"/>
  <c r="H8" i="4"/>
  <c r="H10" i="4"/>
  <c r="I9" i="4"/>
  <c r="E7" i="6"/>
  <c r="G7" i="6" s="1"/>
  <c r="B6" i="6"/>
  <c r="E6" i="6"/>
  <c r="G6" i="6" s="1"/>
  <c r="D20" i="6"/>
  <c r="C6" i="6"/>
  <c r="D6" i="6"/>
  <c r="B5" i="6"/>
  <c r="C5" i="6"/>
  <c r="D5" i="6" s="1"/>
  <c r="E5" i="6" s="1"/>
  <c r="G5" i="6" s="1"/>
  <c r="D19" i="6"/>
  <c r="I7" i="4"/>
  <c r="D18" i="6" l="1"/>
  <c r="C4" i="6"/>
  <c r="D4" i="6" s="1"/>
  <c r="E4" i="6" s="1"/>
  <c r="B4" i="6"/>
  <c r="G4" i="6" l="1"/>
  <c r="B12" i="6"/>
  <c r="C12" i="6" s="1"/>
  <c r="B13" i="6"/>
  <c r="C13" i="6" s="1"/>
  <c r="B11" i="6"/>
  <c r="C11" i="6" s="1"/>
</calcChain>
</file>

<file path=xl/sharedStrings.xml><?xml version="1.0" encoding="utf-8"?>
<sst xmlns="http://schemas.openxmlformats.org/spreadsheetml/2006/main" count="158" uniqueCount="130">
  <si>
    <t>CompsDesk — Comparable Company Analysis</t>
  </si>
  <si>
    <t>Day 19 · 30 Days of AI Finance · Indian IT Sector · FY25 Verified Data</t>
  </si>
  <si>
    <t>SHEET GUIDE</t>
  </si>
  <si>
    <t>Contents</t>
  </si>
  <si>
    <t>1 · Cover</t>
  </si>
  <si>
    <t>Navigation and model overview</t>
  </si>
  <si>
    <t>2 · Peer Data</t>
  </si>
  <si>
    <t>FY25 raw financials — 6 verified Indian IT peers (blue = input)</t>
  </si>
  <si>
    <t>3 · Multiple Engine</t>
  </si>
  <si>
    <t>Computed EV/Revenue, EV/EBITDA, P/E, P/BV for all peers</t>
  </si>
  <si>
    <t>4 · Statistics</t>
  </si>
  <si>
    <t>Min / 25th / Median / Mean / 75th / Max — full set and ex-Coforge</t>
  </si>
  <si>
    <t>5 · Target</t>
  </si>
  <si>
    <t>Meridian Digital Ltd — fictional target company (blue = change these)</t>
  </si>
  <si>
    <t>6 · Implied Valuation</t>
  </si>
  <si>
    <t>4-method implied prices + football field range table</t>
  </si>
  <si>
    <t>HOW TO USE</t>
  </si>
  <si>
    <t>Change any BLUE cell — all formulas recalculate automatically.</t>
  </si>
  <si>
    <t>Blue = hardcoded input   |   Black = formula   |   Green = cross-sheet link</t>
  </si>
  <si>
    <t>DISCLAIMER</t>
  </si>
  <si>
    <t>Peer data FY25 verified against NSE/BSE filings. Meridian Digital Ltd is fictional. Not investment advice.</t>
  </si>
  <si>
    <t>Peer Universe — FY25 Annual Financials (INR Crores)</t>
  </si>
  <si>
    <t>Blue cells = hardcoded inputs · Source: NSE/BSE annual filings, company investor relations FY25</t>
  </si>
  <si>
    <t>Company</t>
  </si>
  <si>
    <t>Price (₹)</t>
  </si>
  <si>
    <t>Mkt Cap (Cr)</t>
  </si>
  <si>
    <t>Shares (Cr)</t>
  </si>
  <si>
    <t>Debt (Cr)</t>
  </si>
  <si>
    <t>Cash (Cr)</t>
  </si>
  <si>
    <t>Revenue (Cr)</t>
  </si>
  <si>
    <t>EBITDA (Cr)</t>
  </si>
  <si>
    <t>PAT (Cr)</t>
  </si>
  <si>
    <t>EPS (₹)</t>
  </si>
  <si>
    <t>ROE (%)</t>
  </si>
  <si>
    <t>ROCE (%)</t>
  </si>
  <si>
    <t>Notes</t>
  </si>
  <si>
    <t>TCS</t>
  </si>
  <si>
    <t>NSE:TCS — Tata Consultancy Services</t>
  </si>
  <si>
    <t>Infosys</t>
  </si>
  <si>
    <t>NSE:INFY — Infosys Ltd</t>
  </si>
  <si>
    <t>Wipro</t>
  </si>
  <si>
    <t>NSE:WIPRO — Wipro Ltd</t>
  </si>
  <si>
    <t>HCL Tech</t>
  </si>
  <si>
    <t>NSE:HCLTECH — HCL Technologies</t>
  </si>
  <si>
    <t>Mphasis</t>
  </si>
  <si>
    <t>NSE:MPHASIS — Mphasis Ltd</t>
  </si>
  <si>
    <t>Coforge</t>
  </si>
  <si>
    <t>NSE:COFORGE — Coforge Ltd (growth outlier)</t>
  </si>
  <si>
    <t>Multiple Engine — Computed EV/Revenue, EV/EBITDA, P/E, P/BV</t>
  </si>
  <si>
    <t>All formulas pull from Peer Data sheet · Black = formula · No hardcoded values</t>
  </si>
  <si>
    <t>Net Debt (Cr)</t>
  </si>
  <si>
    <t>EV (Cr)</t>
  </si>
  <si>
    <t>EBITDA Margin</t>
  </si>
  <si>
    <t>PAT Margin</t>
  </si>
  <si>
    <t>EV/Revenue</t>
  </si>
  <si>
    <t>EV/EBITDA</t>
  </si>
  <si>
    <t>P/E</t>
  </si>
  <si>
    <t>P/BV</t>
  </si>
  <si>
    <t>BV/Share (₹)</t>
  </si>
  <si>
    <t>Comment</t>
  </si>
  <si>
    <t>⚠ Outlier — significant growth premium</t>
  </si>
  <si>
    <t>⚠  Coforge trades at ~37.5x EV/EBITDA — exclude from statistics for conservative analysis.</t>
  </si>
  <si>
    <t>Multiple Statistics — Full Peer Set &amp; Ex-Coforge</t>
  </si>
  <si>
    <t>Median row is the key row for implied valuation · Coforge is a growth outlier at ~37.5x EV/EBITDA</t>
  </si>
  <si>
    <t>FULL PEER SET (n=6)</t>
  </si>
  <si>
    <t>EX-COFORGE (n=5)</t>
  </si>
  <si>
    <t>Stat</t>
  </si>
  <si>
    <t>Minimum</t>
  </si>
  <si>
    <t>25th Percentile</t>
  </si>
  <si>
    <t>Median</t>
  </si>
  <si>
    <t>Mean</t>
  </si>
  <si>
    <t>75th Percentile</t>
  </si>
  <si>
    <t>Maximum</t>
  </si>
  <si>
    <t>Median row (highlighted navy) = the key row applied in Implied Valuation. Use ex-Coforge for conservative analysis.</t>
  </si>
  <si>
    <t>Target Company — Meridian Digital Ltd (Fictional)</t>
  </si>
  <si>
    <t>Fictional mid-tier Indian IT services · B2B digital transformation, cloud, AI services · Blue = change these</t>
  </si>
  <si>
    <t>TARGET FINANCIALS</t>
  </si>
  <si>
    <t>Value</t>
  </si>
  <si>
    <t>Company Name</t>
  </si>
  <si>
    <t>Meridian Digital Ltd</t>
  </si>
  <si>
    <t>Share Price (₹)</t>
  </si>
  <si>
    <t>Shares Outstanding (Cr)</t>
  </si>
  <si>
    <t>Market Cap (₹ Cr)</t>
  </si>
  <si>
    <t>Price × Shares</t>
  </si>
  <si>
    <t>Debt (₹ Cr)</t>
  </si>
  <si>
    <t>Cash (₹ Cr)</t>
  </si>
  <si>
    <t>Net Debt (₹ Cr)</t>
  </si>
  <si>
    <t>Debt − Cash (neg = net cash)</t>
  </si>
  <si>
    <t>Enterprise Value (₹ Cr)</t>
  </si>
  <si>
    <t>Market Cap + Net Debt</t>
  </si>
  <si>
    <t>Revenue (₹ Cr)</t>
  </si>
  <si>
    <t>EBITDA (₹ Cr)</t>
  </si>
  <si>
    <t>EBITDA / Revenue</t>
  </si>
  <si>
    <t>PAT (₹ Cr)</t>
  </si>
  <si>
    <t>PAT / Revenue</t>
  </si>
  <si>
    <t>Book Value / Share (₹)</t>
  </si>
  <si>
    <t>(PAT / ROE%) / Shares</t>
  </si>
  <si>
    <t>Implied Valuation — 4-Method Analysis</t>
  </si>
  <si>
    <t>Uses MEDIAN from Statistics sheet · Change target inputs in Target sheet · Both full &amp; ex-Coforge shown</t>
  </si>
  <si>
    <t>Method</t>
  </si>
  <si>
    <t>Multiple Used</t>
  </si>
  <si>
    <t>Implied EV (₹ Cr)</t>
  </si>
  <si>
    <t>Implied Equity (₹ Cr)</t>
  </si>
  <si>
    <t>Implied Price (₹)</t>
  </si>
  <si>
    <t>Current Price (₹)</t>
  </si>
  <si>
    <t>Upside / Downside</t>
  </si>
  <si>
    <t>EV / Revenue</t>
  </si>
  <si>
    <t>EV / EBITDA</t>
  </si>
  <si>
    <t>P / E</t>
  </si>
  <si>
    <t>P / Book Value</t>
  </si>
  <si>
    <t>SUMMARY — MEDIAN OF METHODS</t>
  </si>
  <si>
    <t>Metric</t>
  </si>
  <si>
    <t>vs Current</t>
  </si>
  <si>
    <t>Verdict</t>
  </si>
  <si>
    <t>Floor  (Minimum method)</t>
  </si>
  <si>
    <t>Most conservative</t>
  </si>
  <si>
    <t>Median of Methods</t>
  </si>
  <si>
    <t>Key midpoint — use this</t>
  </si>
  <si>
    <t>Ceiling (Maximum method)</t>
  </si>
  <si>
    <t>Most optimistic</t>
  </si>
  <si>
    <t>Current Market Price</t>
  </si>
  <si>
    <t>Market consensus</t>
  </si>
  <si>
    <t>FOOTBALL FIELD — PRICE RANGE BY METHOD (Median Stats)</t>
  </si>
  <si>
    <t>Min (₹)</t>
  </si>
  <si>
    <t>25th Pct (₹)</t>
  </si>
  <si>
    <t>Median (₹)</t>
  </si>
  <si>
    <t>75th Pct (₹)</t>
  </si>
  <si>
    <t>Max (₹)</t>
  </si>
  <si>
    <t>Current (₹)</t>
  </si>
  <si>
    <t>CompsDesk · Day 19 · 30 Days of AI Finance · Peer data FY25 verified · Meridian Digital Ltd is fictional · Not investment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</si>
</sst>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"/>
    <numFmt numFmtId="166" formatCode="0.0%"/>
    <numFmt numFmtId="167" formatCode="0.00\x"/>
    <numFmt numFmtId="168" formatCode="\+0.0%;\-0.0%;0.0%"/>
  </numFmts>
  <fonts count="19" x14ac:knownFonts="1">
    <font>
      <sz val="11"/>
      <color theme="1"/>
      <name val="Calibri"/>
      <family val="2"/>
      <charset val="1"/>
    </font>
    <font>
      <b/>
      <sz val="13"/>
      <color rgb="FF1A1A2E"/>
      <name val="Arial"/>
      <charset val="1"/>
    </font>
    <font>
      <sz val="9"/>
      <color rgb="FF666666"/>
      <name val="Arial"/>
      <charset val="1"/>
    </font>
    <font>
      <b/>
      <sz val="9"/>
      <color rgb="FFFFFFFF"/>
      <name val="Arial"/>
      <charset val="1"/>
    </font>
    <font>
      <b/>
      <sz val="10"/>
      <color rgb="FF0000FF"/>
      <name val="Arial"/>
      <charset val="1"/>
    </font>
    <font>
      <sz val="10"/>
      <color rgb="FF000000"/>
      <name val="Arial"/>
      <charset val="1"/>
    </font>
    <font>
      <sz val="9"/>
      <color rgb="FFFFFFFF"/>
      <name val="Arial"/>
      <charset val="1"/>
    </font>
    <font>
      <sz val="10"/>
      <color rgb="FF666666"/>
      <name val="Arial"/>
      <charset val="1"/>
    </font>
    <font>
      <b/>
      <sz val="10"/>
      <color rgb="FFE05C6C"/>
      <name val="Arial"/>
      <charset val="1"/>
    </font>
    <font>
      <b/>
      <sz val="10"/>
      <color rgb="FFFFFFFF"/>
      <name val="Arial"/>
      <charset val="1"/>
    </font>
    <font>
      <b/>
      <sz val="10"/>
      <color rgb="FF1A1A2E"/>
      <name val="Arial"/>
      <charset val="1"/>
    </font>
    <font>
      <sz val="10"/>
      <color rgb="FF0000FF"/>
      <name val="Arial"/>
      <charset val="1"/>
    </font>
    <font>
      <b/>
      <sz val="10"/>
      <color rgb="FF008000"/>
      <name val="Arial"/>
      <charset val="1"/>
    </font>
    <font>
      <sz val="9"/>
      <color rgb="FFE05C6C"/>
      <name val="Arial"/>
      <charset val="1"/>
    </font>
    <font>
      <sz val="10"/>
      <color rgb="FF1A1A2E"/>
      <name val="Arial"/>
      <charset val="1"/>
    </font>
    <font>
      <sz val="9"/>
      <color rgb="FF856404"/>
      <name val="Arial"/>
      <charset val="1"/>
    </font>
    <font>
      <sz val="10"/>
      <color rgb="FF008000"/>
      <name val="Arial"/>
      <charset val="1"/>
    </font>
    <font>
      <sz val="10"/>
      <color rgb="FFFFFFFF"/>
      <name val="Arial"/>
      <charset val="1"/>
    </font>
    <font>
      <sz val="9"/>
      <color rgb="FF0000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8F8FC"/>
      </patternFill>
    </fill>
    <fill>
      <patternFill patternType="solid">
        <fgColor rgb="FF3A5A7A"/>
        <bgColor rgb="FF2C5282"/>
      </patternFill>
    </fill>
    <fill>
      <patternFill patternType="solid">
        <fgColor rgb="FFF0F0F5"/>
        <bgColor rgb="FFF8F8FC"/>
      </patternFill>
    </fill>
    <fill>
      <patternFill patternType="solid">
        <fgColor rgb="FFFFE0E0"/>
        <bgColor rgb="FFFFE8E0"/>
      </patternFill>
    </fill>
    <fill>
      <patternFill patternType="solid">
        <fgColor rgb="FFFFFFCC"/>
        <bgColor rgb="FFFFF3CD"/>
      </patternFill>
    </fill>
    <fill>
      <patternFill patternType="solid">
        <fgColor rgb="FFF8F8FC"/>
        <bgColor rgb="FFFFFFFF"/>
      </patternFill>
    </fill>
    <fill>
      <patternFill patternType="solid">
        <fgColor rgb="FF1A3A5A"/>
        <bgColor rgb="FF2C5282"/>
      </patternFill>
    </fill>
    <fill>
      <patternFill patternType="solid">
        <fgColor rgb="FFFFF3CD"/>
        <bgColor rgb="FFFFFFCC"/>
      </patternFill>
    </fill>
    <fill>
      <patternFill patternType="solid">
        <fgColor rgb="FFFFE8E0"/>
        <bgColor rgb="FFFFE0E0"/>
      </patternFill>
    </fill>
    <fill>
      <patternFill patternType="solid">
        <fgColor rgb="FFE8FFE8"/>
        <bgColor rgb="FFF8F8FC"/>
      </patternFill>
    </fill>
  </fills>
  <borders count="5">
    <border>
      <left/>
      <right/>
      <top/>
      <bottom/>
      <diagonal/>
    </border>
    <border>
      <left style="thin">
        <color rgb="FFD0D0D8"/>
      </left>
      <right style="thin">
        <color rgb="FFD0D0D8"/>
      </right>
      <top style="thin">
        <color rgb="FFD0D0D8"/>
      </top>
      <bottom style="thin">
        <color rgb="FFD0D0D8"/>
      </bottom>
      <diagonal/>
    </border>
    <border>
      <left style="thin">
        <color rgb="FFD0D0D8"/>
      </left>
      <right/>
      <top style="thin">
        <color rgb="FFD0D0D8"/>
      </top>
      <bottom style="thin">
        <color rgb="FFD0D0D8"/>
      </bottom>
      <diagonal/>
    </border>
    <border>
      <left/>
      <right/>
      <top style="thin">
        <color rgb="FFD0D0D8"/>
      </top>
      <bottom style="thin">
        <color rgb="FFD0D0D8"/>
      </bottom>
      <diagonal/>
    </border>
    <border>
      <left/>
      <right style="thin">
        <color rgb="FFD0D0D8"/>
      </right>
      <top style="thin">
        <color rgb="FFD0D0D8"/>
      </top>
      <bottom style="thin">
        <color rgb="FFD0D0D8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3" fontId="11" fillId="6" borderId="1" xfId="0" applyNumberFormat="1" applyFont="1" applyFill="1" applyBorder="1" applyAlignment="1">
      <alignment horizontal="right" vertical="center"/>
    </xf>
    <xf numFmtId="164" fontId="11" fillId="6" borderId="1" xfId="0" applyNumberFormat="1" applyFont="1" applyFill="1" applyBorder="1" applyAlignment="1">
      <alignment horizontal="right" vertical="center"/>
    </xf>
    <xf numFmtId="4" fontId="11" fillId="6" borderId="1" xfId="0" applyNumberFormat="1" applyFont="1" applyFill="1" applyBorder="1" applyAlignment="1">
      <alignment horizontal="right" vertical="center"/>
    </xf>
    <xf numFmtId="165" fontId="11" fillId="6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167" fontId="5" fillId="4" borderId="1" xfId="0" applyNumberFormat="1" applyFont="1" applyFill="1" applyBorder="1" applyAlignment="1">
      <alignment horizontal="right" vertical="center"/>
    </xf>
    <xf numFmtId="4" fontId="5" fillId="4" borderId="1" xfId="0" applyNumberFormat="1" applyFont="1" applyFill="1" applyBorder="1" applyAlignment="1">
      <alignment horizontal="right" vertical="center"/>
    </xf>
    <xf numFmtId="0" fontId="12" fillId="7" borderId="1" xfId="0" applyFont="1" applyFill="1" applyBorder="1" applyAlignment="1">
      <alignment horizontal="left" vertical="center"/>
    </xf>
    <xf numFmtId="3" fontId="5" fillId="7" borderId="1" xfId="0" applyNumberFormat="1" applyFont="1" applyFill="1" applyBorder="1" applyAlignment="1">
      <alignment horizontal="right" vertical="center"/>
    </xf>
    <xf numFmtId="166" fontId="5" fillId="7" borderId="1" xfId="0" applyNumberFormat="1" applyFont="1" applyFill="1" applyBorder="1" applyAlignment="1">
      <alignment horizontal="right" vertical="center"/>
    </xf>
    <xf numFmtId="167" fontId="5" fillId="7" borderId="1" xfId="0" applyNumberFormat="1" applyFont="1" applyFill="1" applyBorder="1" applyAlignment="1">
      <alignment horizontal="right" vertical="center"/>
    </xf>
    <xf numFmtId="4" fontId="5" fillId="7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0" fillId="2" borderId="0" xfId="0" applyFill="1"/>
    <xf numFmtId="0" fontId="14" fillId="4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167" fontId="9" fillId="8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167" fontId="16" fillId="4" borderId="1" xfId="0" applyNumberFormat="1" applyFont="1" applyFill="1" applyBorder="1" applyAlignment="1">
      <alignment horizontal="right" vertical="center"/>
    </xf>
    <xf numFmtId="168" fontId="5" fillId="4" borderId="1" xfId="0" applyNumberFormat="1" applyFont="1" applyFill="1" applyBorder="1" applyAlignment="1">
      <alignment horizontal="right" vertical="center"/>
    </xf>
    <xf numFmtId="167" fontId="16" fillId="7" borderId="1" xfId="0" applyNumberFormat="1" applyFont="1" applyFill="1" applyBorder="1" applyAlignment="1">
      <alignment horizontal="right" vertical="center"/>
    </xf>
    <xf numFmtId="168" fontId="5" fillId="7" borderId="1" xfId="0" applyNumberFormat="1" applyFont="1" applyFill="1" applyBorder="1" applyAlignment="1">
      <alignment horizontal="right" vertical="center"/>
    </xf>
    <xf numFmtId="0" fontId="17" fillId="3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4" fontId="5" fillId="10" borderId="1" xfId="0" applyNumberFormat="1" applyFont="1" applyFill="1" applyBorder="1" applyAlignment="1">
      <alignment horizontal="right" vertical="center"/>
    </xf>
    <xf numFmtId="168" fontId="5" fillId="10" borderId="1" xfId="0" applyNumberFormat="1" applyFont="1" applyFill="1" applyBorder="1" applyAlignment="1">
      <alignment horizontal="right" vertical="center"/>
    </xf>
    <xf numFmtId="0" fontId="18" fillId="10" borderId="1" xfId="0" applyFont="1" applyFill="1" applyBorder="1" applyAlignment="1">
      <alignment horizontal="left" vertical="center"/>
    </xf>
    <xf numFmtId="4" fontId="9" fillId="8" borderId="1" xfId="0" applyNumberFormat="1" applyFont="1" applyFill="1" applyBorder="1" applyAlignment="1">
      <alignment horizontal="right" vertical="center"/>
    </xf>
    <xf numFmtId="168" fontId="9" fillId="8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4" fontId="5" fillId="11" borderId="1" xfId="0" applyNumberFormat="1" applyFont="1" applyFill="1" applyBorder="1" applyAlignment="1">
      <alignment horizontal="right" vertical="center"/>
    </xf>
    <xf numFmtId="168" fontId="5" fillId="11" borderId="1" xfId="0" applyNumberFormat="1" applyFont="1" applyFill="1" applyBorder="1" applyAlignment="1">
      <alignment horizontal="right" vertical="center"/>
    </xf>
    <xf numFmtId="0" fontId="18" fillId="11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4" fontId="10" fillId="4" borderId="1" xfId="0" applyNumberFormat="1" applyFont="1" applyFill="1" applyBorder="1" applyAlignment="1">
      <alignment horizontal="right" vertical="center"/>
    </xf>
    <xf numFmtId="4" fontId="7" fillId="4" borderId="1" xfId="0" applyNumberFormat="1" applyFont="1" applyFill="1" applyBorder="1" applyAlignment="1">
      <alignment horizontal="right" vertical="center"/>
    </xf>
    <xf numFmtId="4" fontId="10" fillId="7" borderId="1" xfId="0" applyNumberFormat="1" applyFont="1" applyFill="1" applyBorder="1" applyAlignment="1">
      <alignment horizontal="right" vertical="center"/>
    </xf>
    <xf numFmtId="4" fontId="7" fillId="7" borderId="1" xfId="0" applyNumberFormat="1" applyFont="1" applyFill="1" applyBorder="1" applyAlignment="1">
      <alignment horizontal="right" vertical="center"/>
    </xf>
    <xf numFmtId="0" fontId="15" fillId="9" borderId="2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 wrapText="1"/>
    </xf>
    <xf numFmtId="0" fontId="15" fillId="9" borderId="4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276749"/>
      <rgbColor rgb="FFFFE8E0"/>
      <rgbColor rgb="FF808080"/>
      <rgbColor rgb="FF9999FF"/>
      <rgbColor rgb="FF993366"/>
      <rgbColor rgb="FFFFFFCC"/>
      <rgbColor rgb="FFE8FFE8"/>
      <rgbColor rgb="FF660066"/>
      <rgbColor rgb="FFE05C6C"/>
      <rgbColor rgb="FF3A5A7A"/>
      <rgbColor rgb="FFD0D0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5"/>
      <rgbColor rgb="FFF8F8FC"/>
      <rgbColor rgb="FFFFF3CD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A5A"/>
      <rgbColor rgb="FF339966"/>
      <rgbColor rgb="FF003300"/>
      <rgbColor rgb="FF333300"/>
      <rgbColor rgb="FFB45309"/>
      <rgbColor rgb="FF993366"/>
      <rgbColor rgb="FF2C5282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3A5A"/>
  </sheetPr>
  <dimension ref="A1:B17"/>
  <sheetViews>
    <sheetView tabSelected="1" zoomScaleNormal="100" workbookViewId="0">
      <selection activeCell="D16" sqref="D16"/>
    </sheetView>
  </sheetViews>
  <sheetFormatPr defaultColWidth="8.6640625" defaultRowHeight="14.4" x14ac:dyDescent="0.3"/>
  <cols>
    <col min="1" max="1" width="28" customWidth="1"/>
    <col min="2" max="2" width="65.88671875" customWidth="1"/>
  </cols>
  <sheetData>
    <row r="1" spans="1:2" ht="27.75" customHeight="1" x14ac:dyDescent="0.3">
      <c r="A1" s="1" t="s">
        <v>0</v>
      </c>
    </row>
    <row r="2" spans="1:2" ht="15.75" customHeight="1" x14ac:dyDescent="0.3">
      <c r="A2" s="2" t="s">
        <v>1</v>
      </c>
    </row>
    <row r="4" spans="1:2" ht="18" customHeight="1" x14ac:dyDescent="0.3">
      <c r="A4" s="3" t="s">
        <v>2</v>
      </c>
      <c r="B4" s="3" t="s">
        <v>3</v>
      </c>
    </row>
    <row r="5" spans="1:2" ht="15" customHeight="1" x14ac:dyDescent="0.3">
      <c r="A5" s="4" t="s">
        <v>4</v>
      </c>
      <c r="B5" s="5" t="s">
        <v>5</v>
      </c>
    </row>
    <row r="6" spans="1:2" ht="15" customHeight="1" x14ac:dyDescent="0.3">
      <c r="A6" s="4" t="s">
        <v>6</v>
      </c>
      <c r="B6" s="5" t="s">
        <v>7</v>
      </c>
    </row>
    <row r="7" spans="1:2" ht="15" customHeight="1" x14ac:dyDescent="0.3">
      <c r="A7" s="4" t="s">
        <v>8</v>
      </c>
      <c r="B7" s="5" t="s">
        <v>9</v>
      </c>
    </row>
    <row r="8" spans="1:2" ht="15" customHeight="1" x14ac:dyDescent="0.3">
      <c r="A8" s="4" t="s">
        <v>10</v>
      </c>
      <c r="B8" s="5" t="s">
        <v>11</v>
      </c>
    </row>
    <row r="9" spans="1:2" ht="15" customHeight="1" x14ac:dyDescent="0.3">
      <c r="A9" s="4" t="s">
        <v>12</v>
      </c>
      <c r="B9" s="5" t="s">
        <v>13</v>
      </c>
    </row>
    <row r="10" spans="1:2" ht="15" customHeight="1" x14ac:dyDescent="0.3">
      <c r="A10" s="4" t="s">
        <v>14</v>
      </c>
      <c r="B10" s="5" t="s">
        <v>15</v>
      </c>
    </row>
    <row r="12" spans="1:2" ht="18" customHeight="1" x14ac:dyDescent="0.3">
      <c r="A12" s="3" t="s">
        <v>16</v>
      </c>
      <c r="B12" s="6"/>
    </row>
    <row r="13" spans="1:2" ht="15" customHeight="1" x14ac:dyDescent="0.3">
      <c r="A13" s="5" t="s">
        <v>17</v>
      </c>
      <c r="B13" s="5"/>
    </row>
    <row r="14" spans="1:2" ht="15" customHeight="1" x14ac:dyDescent="0.3">
      <c r="A14" s="7" t="s">
        <v>18</v>
      </c>
      <c r="B14" s="8"/>
    </row>
    <row r="16" spans="1:2" ht="18" customHeight="1" x14ac:dyDescent="0.3">
      <c r="A16" s="3" t="s">
        <v>19</v>
      </c>
      <c r="B16" s="6"/>
    </row>
    <row r="17" spans="1:2" ht="30" customHeight="1" x14ac:dyDescent="0.3">
      <c r="A17" s="65" t="s">
        <v>20</v>
      </c>
      <c r="B17" s="66"/>
    </row>
  </sheetData>
  <mergeCells count="1">
    <mergeCell ref="A17:B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C5282"/>
  </sheetPr>
  <dimension ref="A1:M9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11" customWidth="1"/>
    <col min="3" max="3" width="13" customWidth="1"/>
    <col min="4" max="6" width="11" customWidth="1"/>
    <col min="7" max="8" width="13" customWidth="1"/>
    <col min="9" max="9" width="11" customWidth="1"/>
    <col min="10" max="12" width="10" customWidth="1"/>
    <col min="13" max="13" width="36" customWidth="1"/>
  </cols>
  <sheetData>
    <row r="1" spans="1:13" ht="24" customHeight="1" x14ac:dyDescent="0.3">
      <c r="A1" s="1" t="s">
        <v>21</v>
      </c>
    </row>
    <row r="2" spans="1:13" ht="13.5" customHeight="1" x14ac:dyDescent="0.3">
      <c r="A2" s="2" t="s">
        <v>22</v>
      </c>
    </row>
    <row r="3" spans="1:13" ht="18" customHeight="1" x14ac:dyDescent="0.3">
      <c r="A3" s="9" t="s">
        <v>23</v>
      </c>
      <c r="B3" s="9" t="s">
        <v>24</v>
      </c>
      <c r="C3" s="9" t="s">
        <v>25</v>
      </c>
      <c r="D3" s="9" t="s">
        <v>26</v>
      </c>
      <c r="E3" s="9" t="s">
        <v>27</v>
      </c>
      <c r="F3" s="9" t="s">
        <v>28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33</v>
      </c>
      <c r="L3" s="9" t="s">
        <v>34</v>
      </c>
      <c r="M3" s="9" t="s">
        <v>35</v>
      </c>
    </row>
    <row r="4" spans="1:13" ht="15" customHeight="1" x14ac:dyDescent="0.3">
      <c r="A4" s="10" t="s">
        <v>36</v>
      </c>
      <c r="B4" s="11">
        <v>2223</v>
      </c>
      <c r="C4" s="11">
        <v>804300</v>
      </c>
      <c r="D4" s="12">
        <v>361.8</v>
      </c>
      <c r="E4" s="11">
        <v>0</v>
      </c>
      <c r="F4" s="11">
        <v>48908</v>
      </c>
      <c r="G4" s="11">
        <v>255324</v>
      </c>
      <c r="H4" s="11">
        <v>67407</v>
      </c>
      <c r="I4" s="11">
        <v>48797</v>
      </c>
      <c r="J4" s="13">
        <v>134.19999999999999</v>
      </c>
      <c r="K4" s="14">
        <v>51.8</v>
      </c>
      <c r="L4" s="14">
        <v>63</v>
      </c>
      <c r="M4" s="15" t="s">
        <v>37</v>
      </c>
    </row>
    <row r="5" spans="1:13" ht="15" customHeight="1" x14ac:dyDescent="0.3">
      <c r="A5" s="16" t="s">
        <v>38</v>
      </c>
      <c r="B5" s="11">
        <v>1157</v>
      </c>
      <c r="C5" s="11">
        <v>469708</v>
      </c>
      <c r="D5" s="12">
        <v>406</v>
      </c>
      <c r="E5" s="11">
        <v>0</v>
      </c>
      <c r="F5" s="11">
        <v>97099</v>
      </c>
      <c r="G5" s="11">
        <v>162990</v>
      </c>
      <c r="H5" s="11">
        <v>38921</v>
      </c>
      <c r="I5" s="11">
        <v>26750</v>
      </c>
      <c r="J5" s="13">
        <v>64.599999999999994</v>
      </c>
      <c r="K5" s="14">
        <v>35.200000000000003</v>
      </c>
      <c r="L5" s="14">
        <v>39.9</v>
      </c>
      <c r="M5" s="15" t="s">
        <v>39</v>
      </c>
    </row>
    <row r="6" spans="1:13" ht="15" customHeight="1" x14ac:dyDescent="0.3">
      <c r="A6" s="10" t="s">
        <v>40</v>
      </c>
      <c r="B6" s="11">
        <v>184</v>
      </c>
      <c r="C6" s="11">
        <v>193749</v>
      </c>
      <c r="D6" s="12">
        <v>1053</v>
      </c>
      <c r="E6" s="11">
        <v>20490</v>
      </c>
      <c r="F6" s="11">
        <v>34500</v>
      </c>
      <c r="G6" s="11">
        <v>89088</v>
      </c>
      <c r="H6" s="11">
        <v>18250</v>
      </c>
      <c r="I6" s="11">
        <v>13218</v>
      </c>
      <c r="J6" s="13">
        <v>12.63</v>
      </c>
      <c r="K6" s="14">
        <v>14.9</v>
      </c>
      <c r="L6" s="14">
        <v>17.8</v>
      </c>
      <c r="M6" s="15" t="s">
        <v>41</v>
      </c>
    </row>
    <row r="7" spans="1:13" ht="15" customHeight="1" x14ac:dyDescent="0.3">
      <c r="A7" s="16" t="s">
        <v>42</v>
      </c>
      <c r="B7" s="11">
        <v>1166</v>
      </c>
      <c r="C7" s="11">
        <v>316630</v>
      </c>
      <c r="D7" s="12">
        <v>271.60000000000002</v>
      </c>
      <c r="E7" s="11">
        <v>2150</v>
      </c>
      <c r="F7" s="11">
        <v>11200</v>
      </c>
      <c r="G7" s="11">
        <v>116180</v>
      </c>
      <c r="H7" s="11">
        <v>25480</v>
      </c>
      <c r="I7" s="11">
        <v>15740</v>
      </c>
      <c r="J7" s="13">
        <v>58.02</v>
      </c>
      <c r="K7" s="14">
        <v>22.1</v>
      </c>
      <c r="L7" s="14">
        <v>30.6</v>
      </c>
      <c r="M7" s="15" t="s">
        <v>43</v>
      </c>
    </row>
    <row r="8" spans="1:13" ht="15" customHeight="1" x14ac:dyDescent="0.3">
      <c r="A8" s="10" t="s">
        <v>44</v>
      </c>
      <c r="B8" s="11">
        <v>2326</v>
      </c>
      <c r="C8" s="11">
        <v>44419</v>
      </c>
      <c r="D8" s="12">
        <v>19.100000000000001</v>
      </c>
      <c r="E8" s="11">
        <v>1820</v>
      </c>
      <c r="F8" s="11">
        <v>2450</v>
      </c>
      <c r="G8" s="11">
        <v>13496</v>
      </c>
      <c r="H8" s="11">
        <v>2639</v>
      </c>
      <c r="I8" s="11">
        <v>1554</v>
      </c>
      <c r="J8" s="13">
        <v>82.4</v>
      </c>
      <c r="K8" s="14">
        <v>22.7</v>
      </c>
      <c r="L8" s="14">
        <v>30.3</v>
      </c>
      <c r="M8" s="15" t="s">
        <v>45</v>
      </c>
    </row>
    <row r="9" spans="1:13" ht="15" customHeight="1" x14ac:dyDescent="0.3">
      <c r="A9" s="16" t="s">
        <v>46</v>
      </c>
      <c r="B9" s="11">
        <v>1483</v>
      </c>
      <c r="C9" s="11">
        <v>63782</v>
      </c>
      <c r="D9" s="12">
        <v>43</v>
      </c>
      <c r="E9" s="11">
        <v>1140</v>
      </c>
      <c r="F9" s="11">
        <v>1350</v>
      </c>
      <c r="G9" s="11">
        <v>12051</v>
      </c>
      <c r="H9" s="11">
        <v>1694</v>
      </c>
      <c r="I9" s="11">
        <v>936</v>
      </c>
      <c r="J9" s="13">
        <v>24.29</v>
      </c>
      <c r="K9" s="14">
        <v>20.6</v>
      </c>
      <c r="L9" s="14">
        <v>23.5</v>
      </c>
      <c r="M9" s="15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C5282"/>
  </sheetPr>
  <dimension ref="A1:K10"/>
  <sheetViews>
    <sheetView zoomScaleNormal="100" workbookViewId="0">
      <selection activeCell="A10" sqref="A10:K10"/>
    </sheetView>
  </sheetViews>
  <sheetFormatPr defaultColWidth="8.6640625" defaultRowHeight="14.4" x14ac:dyDescent="0.3"/>
  <cols>
    <col min="1" max="1" width="14" customWidth="1"/>
    <col min="2" max="4" width="13" customWidth="1"/>
    <col min="5" max="7" width="12" customWidth="1"/>
    <col min="8" max="9" width="10" customWidth="1"/>
    <col min="10" max="10" width="13" customWidth="1"/>
    <col min="11" max="11" width="32" customWidth="1"/>
  </cols>
  <sheetData>
    <row r="1" spans="1:11" ht="24" customHeight="1" x14ac:dyDescent="0.3">
      <c r="A1" s="1" t="s">
        <v>48</v>
      </c>
    </row>
    <row r="2" spans="1:11" ht="13.5" customHeight="1" x14ac:dyDescent="0.3">
      <c r="A2" s="2" t="s">
        <v>49</v>
      </c>
    </row>
    <row r="3" spans="1:11" ht="18" customHeight="1" x14ac:dyDescent="0.3">
      <c r="A3" s="9" t="s">
        <v>23</v>
      </c>
      <c r="B3" s="9" t="s">
        <v>50</v>
      </c>
      <c r="C3" s="9" t="s">
        <v>51</v>
      </c>
      <c r="D3" s="9" t="s">
        <v>52</v>
      </c>
      <c r="E3" s="9" t="s">
        <v>53</v>
      </c>
      <c r="F3" s="9" t="s">
        <v>54</v>
      </c>
      <c r="G3" s="9" t="s">
        <v>55</v>
      </c>
      <c r="H3" s="9" t="s">
        <v>56</v>
      </c>
      <c r="I3" s="9" t="s">
        <v>57</v>
      </c>
      <c r="J3" s="9" t="s">
        <v>58</v>
      </c>
      <c r="K3" s="9" t="s">
        <v>59</v>
      </c>
    </row>
    <row r="4" spans="1:11" ht="15" customHeight="1" x14ac:dyDescent="0.3">
      <c r="A4" s="17" t="str">
        <f>'Peer Data'!A4</f>
        <v>TCS</v>
      </c>
      <c r="B4" s="18">
        <f>'Peer Data'!E4-'Peer Data'!F4</f>
        <v>-48908</v>
      </c>
      <c r="C4" s="18">
        <f>'Peer Data'!C4+B4</f>
        <v>755392</v>
      </c>
      <c r="D4" s="19">
        <f>'Peer Data'!H4/'Peer Data'!G4</f>
        <v>0.26400573389105608</v>
      </c>
      <c r="E4" s="19">
        <f>'Peer Data'!I4/'Peer Data'!G4</f>
        <v>0.19111795209224358</v>
      </c>
      <c r="F4" s="20">
        <f>C4/'Peer Data'!G4</f>
        <v>2.9585624539800413</v>
      </c>
      <c r="G4" s="20">
        <f>C4/'Peer Data'!H4</f>
        <v>11.206432566350676</v>
      </c>
      <c r="H4" s="20">
        <f>'Peer Data'!B4/'Peer Data'!J4</f>
        <v>16.564828614008942</v>
      </c>
      <c r="I4" s="20">
        <f>'Peer Data'!B4/J4</f>
        <v>8.5377741500502093</v>
      </c>
      <c r="J4" s="21">
        <f>('Peer Data'!I4/('Peer Data'!K4/100))/'Peer Data'!D4</f>
        <v>260.37231261111856</v>
      </c>
      <c r="K4" s="15"/>
    </row>
    <row r="5" spans="1:11" ht="15" customHeight="1" x14ac:dyDescent="0.3">
      <c r="A5" s="22" t="str">
        <f>'Peer Data'!A5</f>
        <v>Infosys</v>
      </c>
      <c r="B5" s="23">
        <f>'Peer Data'!E5-'Peer Data'!F5</f>
        <v>-97099</v>
      </c>
      <c r="C5" s="23">
        <f>'Peer Data'!C5+B5</f>
        <v>372609</v>
      </c>
      <c r="D5" s="24">
        <f>'Peer Data'!H5/'Peer Data'!G5</f>
        <v>0.23879379103012455</v>
      </c>
      <c r="E5" s="24">
        <f>'Peer Data'!I5/'Peer Data'!G5</f>
        <v>0.16412049819007302</v>
      </c>
      <c r="F5" s="25">
        <f>C5/'Peer Data'!G5</f>
        <v>2.2860850358917726</v>
      </c>
      <c r="G5" s="25">
        <f>C5/'Peer Data'!H5</f>
        <v>9.5734693353202633</v>
      </c>
      <c r="H5" s="25">
        <f>'Peer Data'!B5/'Peer Data'!J5</f>
        <v>17.910216718266255</v>
      </c>
      <c r="I5" s="25">
        <f>'Peer Data'!B5/J5</f>
        <v>6.1812779065420562</v>
      </c>
      <c r="J5" s="26">
        <f>('Peer Data'!I5/('Peer Data'!K5/100))/'Peer Data'!D5</f>
        <v>187.17812360053739</v>
      </c>
      <c r="K5" s="27"/>
    </row>
    <row r="6" spans="1:11" ht="15" customHeight="1" x14ac:dyDescent="0.3">
      <c r="A6" s="17" t="str">
        <f>'Peer Data'!A6</f>
        <v>Wipro</v>
      </c>
      <c r="B6" s="18">
        <f>'Peer Data'!E6-'Peer Data'!F6</f>
        <v>-14010</v>
      </c>
      <c r="C6" s="18">
        <f>'Peer Data'!C6+B6</f>
        <v>179739</v>
      </c>
      <c r="D6" s="19">
        <f>'Peer Data'!H6/'Peer Data'!G6</f>
        <v>0.20485362787356323</v>
      </c>
      <c r="E6" s="19">
        <f>'Peer Data'!I6/'Peer Data'!G6</f>
        <v>0.14837015086206898</v>
      </c>
      <c r="F6" s="20">
        <f>C6/'Peer Data'!G6</f>
        <v>2.0175444504310347</v>
      </c>
      <c r="G6" s="20">
        <f>C6/'Peer Data'!H6</f>
        <v>9.8487123287671228</v>
      </c>
      <c r="H6" s="20">
        <f>'Peer Data'!B6/'Peer Data'!J6</f>
        <v>14.56848772763262</v>
      </c>
      <c r="I6" s="20">
        <f>'Peer Data'!B6/J6</f>
        <v>2.1840708125283705</v>
      </c>
      <c r="J6" s="21">
        <f>('Peer Data'!I6/('Peer Data'!K6/100))/'Peer Data'!D6</f>
        <v>84.246352702728544</v>
      </c>
      <c r="K6" s="15"/>
    </row>
    <row r="7" spans="1:11" ht="15" customHeight="1" x14ac:dyDescent="0.3">
      <c r="A7" s="22" t="str">
        <f>'Peer Data'!A7</f>
        <v>HCL Tech</v>
      </c>
      <c r="B7" s="23">
        <f>'Peer Data'!E7-'Peer Data'!F7</f>
        <v>-9050</v>
      </c>
      <c r="C7" s="23">
        <f>'Peer Data'!C7+B7</f>
        <v>307580</v>
      </c>
      <c r="D7" s="24">
        <f>'Peer Data'!H7/'Peer Data'!G7</f>
        <v>0.21931485625753142</v>
      </c>
      <c r="E7" s="24">
        <f>'Peer Data'!I7/'Peer Data'!G7</f>
        <v>0.13547942847305905</v>
      </c>
      <c r="F7" s="25">
        <f>C7/'Peer Data'!G7</f>
        <v>2.6474436219659148</v>
      </c>
      <c r="G7" s="25">
        <f>C7/'Peer Data'!H7</f>
        <v>12.071428571428571</v>
      </c>
      <c r="H7" s="25">
        <f>'Peer Data'!B7/'Peer Data'!J7</f>
        <v>20.096518441916579</v>
      </c>
      <c r="I7" s="25">
        <f>'Peer Data'!B7/J7</f>
        <v>4.4464750698856417</v>
      </c>
      <c r="J7" s="26">
        <f>('Peer Data'!I7/('Peer Data'!K7/100))/'Peer Data'!D7</f>
        <v>262.23018945881284</v>
      </c>
      <c r="K7" s="27"/>
    </row>
    <row r="8" spans="1:11" ht="15" customHeight="1" x14ac:dyDescent="0.3">
      <c r="A8" s="17" t="str">
        <f>'Peer Data'!A8</f>
        <v>Mphasis</v>
      </c>
      <c r="B8" s="18">
        <f>'Peer Data'!E8-'Peer Data'!F8</f>
        <v>-630</v>
      </c>
      <c r="C8" s="18">
        <f>'Peer Data'!C8+B8</f>
        <v>43789</v>
      </c>
      <c r="D8" s="19">
        <f>'Peer Data'!H8/'Peer Data'!G8</f>
        <v>0.19553941908713693</v>
      </c>
      <c r="E8" s="19">
        <f>'Peer Data'!I8/'Peer Data'!G8</f>
        <v>0.11514522821576763</v>
      </c>
      <c r="F8" s="20">
        <f>C8/'Peer Data'!G8</f>
        <v>3.2445909899229401</v>
      </c>
      <c r="G8" s="20">
        <f>C8/'Peer Data'!H8</f>
        <v>16.59302766199318</v>
      </c>
      <c r="H8" s="20">
        <f>'Peer Data'!B8/'Peer Data'!J8</f>
        <v>28.228155339805824</v>
      </c>
      <c r="I8" s="20">
        <f>'Peer Data'!B8/J8</f>
        <v>6.4895998712998715</v>
      </c>
      <c r="J8" s="21">
        <f>('Peer Data'!I8/('Peer Data'!K8/100))/'Peer Data'!D8</f>
        <v>358.41963235463709</v>
      </c>
      <c r="K8" s="15"/>
    </row>
    <row r="9" spans="1:11" ht="15" customHeight="1" x14ac:dyDescent="0.3">
      <c r="A9" s="22" t="str">
        <f>'Peer Data'!A9</f>
        <v>Coforge</v>
      </c>
      <c r="B9" s="23">
        <f>'Peer Data'!E9-'Peer Data'!F9</f>
        <v>-210</v>
      </c>
      <c r="C9" s="23">
        <f>'Peer Data'!C9+B9</f>
        <v>63572</v>
      </c>
      <c r="D9" s="24">
        <f>'Peer Data'!H9/'Peer Data'!G9</f>
        <v>0.14056924736536386</v>
      </c>
      <c r="E9" s="24">
        <f>'Peer Data'!I9/'Peer Data'!G9</f>
        <v>7.7669902912621352E-2</v>
      </c>
      <c r="F9" s="25">
        <f>C9/'Peer Data'!G9</f>
        <v>5.2752468674798774</v>
      </c>
      <c r="G9" s="25">
        <f>C9/'Peer Data'!H9</f>
        <v>37.527744982290436</v>
      </c>
      <c r="H9" s="25">
        <f>'Peer Data'!B9/'Peer Data'!J9</f>
        <v>61.05393165911898</v>
      </c>
      <c r="I9" s="25">
        <f>'Peer Data'!B9/J9</f>
        <v>14.034630341880343</v>
      </c>
      <c r="J9" s="26">
        <f>('Peer Data'!I9/('Peer Data'!K9/100))/'Peer Data'!D9</f>
        <v>105.66719349740347</v>
      </c>
      <c r="K9" s="28" t="s">
        <v>60</v>
      </c>
    </row>
    <row r="10" spans="1:11" ht="24" customHeight="1" x14ac:dyDescent="0.3">
      <c r="A10" s="62" t="s">
        <v>61</v>
      </c>
      <c r="B10" s="63"/>
      <c r="C10" s="63"/>
      <c r="D10" s="63"/>
      <c r="E10" s="63"/>
      <c r="F10" s="63"/>
      <c r="G10" s="63"/>
      <c r="H10" s="63"/>
      <c r="I10" s="63"/>
      <c r="J10" s="63"/>
      <c r="K10" s="64"/>
    </row>
  </sheetData>
  <mergeCells count="1">
    <mergeCell ref="A10:K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5282"/>
  </sheetPr>
  <dimension ref="A1:K11"/>
  <sheetViews>
    <sheetView zoomScaleNormal="100" workbookViewId="0">
      <selection activeCell="A11" sqref="A11:K11"/>
    </sheetView>
  </sheetViews>
  <sheetFormatPr defaultColWidth="8.6640625" defaultRowHeight="14.4" x14ac:dyDescent="0.3"/>
  <cols>
    <col min="1" max="1" width="17" customWidth="1"/>
    <col min="2" max="3" width="13" customWidth="1"/>
    <col min="4" max="5" width="11" customWidth="1"/>
    <col min="6" max="6" width="3" customWidth="1"/>
    <col min="7" max="7" width="17" customWidth="1"/>
    <col min="8" max="9" width="13" customWidth="1"/>
    <col min="10" max="11" width="11" customWidth="1"/>
  </cols>
  <sheetData>
    <row r="1" spans="1:11" ht="24" customHeight="1" x14ac:dyDescent="0.3">
      <c r="A1" s="1" t="s">
        <v>62</v>
      </c>
    </row>
    <row r="2" spans="1:11" ht="13.5" customHeight="1" x14ac:dyDescent="0.3">
      <c r="A2" s="2" t="s">
        <v>63</v>
      </c>
    </row>
    <row r="3" spans="1:11" ht="18" customHeight="1" x14ac:dyDescent="0.3">
      <c r="A3" s="3" t="s">
        <v>64</v>
      </c>
      <c r="B3" s="6"/>
      <c r="C3" s="6"/>
      <c r="D3" s="6"/>
      <c r="E3" s="6"/>
      <c r="F3" s="29"/>
      <c r="G3" s="3" t="s">
        <v>65</v>
      </c>
      <c r="H3" s="6"/>
      <c r="I3" s="6"/>
      <c r="J3" s="6"/>
      <c r="K3" s="6"/>
    </row>
    <row r="4" spans="1:11" ht="18" customHeight="1" x14ac:dyDescent="0.3">
      <c r="A4" s="9" t="s">
        <v>66</v>
      </c>
      <c r="B4" s="9" t="s">
        <v>54</v>
      </c>
      <c r="C4" s="9" t="s">
        <v>55</v>
      </c>
      <c r="D4" s="9" t="s">
        <v>56</v>
      </c>
      <c r="E4" s="9" t="s">
        <v>57</v>
      </c>
      <c r="F4" s="29"/>
      <c r="G4" s="9" t="s">
        <v>66</v>
      </c>
      <c r="H4" s="9" t="s">
        <v>54</v>
      </c>
      <c r="I4" s="9" t="s">
        <v>55</v>
      </c>
      <c r="J4" s="9" t="s">
        <v>56</v>
      </c>
      <c r="K4" s="9" t="s">
        <v>57</v>
      </c>
    </row>
    <row r="5" spans="1:11" ht="15" customHeight="1" x14ac:dyDescent="0.3">
      <c r="A5" s="30" t="s">
        <v>67</v>
      </c>
      <c r="B5" s="20">
        <f>MIN('Multiple Engine'!F4:F9)</f>
        <v>2.0175444504310347</v>
      </c>
      <c r="C5" s="20">
        <f>MIN('Multiple Engine'!G4:G9)</f>
        <v>9.5734693353202633</v>
      </c>
      <c r="D5" s="20">
        <f>MIN('Multiple Engine'!H4:H9)</f>
        <v>14.56848772763262</v>
      </c>
      <c r="E5" s="20">
        <f>MIN('Multiple Engine'!I4:I9)</f>
        <v>2.1840708125283705</v>
      </c>
      <c r="F5" s="29"/>
      <c r="G5" s="30" t="s">
        <v>67</v>
      </c>
      <c r="H5" s="20">
        <f>MIN('Multiple Engine'!F4:F8)</f>
        <v>2.0175444504310347</v>
      </c>
      <c r="I5" s="20">
        <f>MIN('Multiple Engine'!G4:G8)</f>
        <v>9.5734693353202633</v>
      </c>
      <c r="J5" s="20">
        <f>MIN('Multiple Engine'!H4:H8)</f>
        <v>14.56848772763262</v>
      </c>
      <c r="K5" s="20">
        <f>MIN('Multiple Engine'!I4:I8)</f>
        <v>2.1840708125283705</v>
      </c>
    </row>
    <row r="6" spans="1:11" ht="15" customHeight="1" x14ac:dyDescent="0.3">
      <c r="A6" s="31" t="s">
        <v>68</v>
      </c>
      <c r="B6" s="25">
        <f>PERCENTILE('Multiple Engine'!F4:F9,0.25)</f>
        <v>2.3764246824103079</v>
      </c>
      <c r="C6" s="25">
        <f>PERCENTILE('Multiple Engine'!G4:G9,0.25)</f>
        <v>10.188142388163012</v>
      </c>
      <c r="D6" s="25">
        <f>PERCENTILE('Multiple Engine'!H4:H9,0.25)</f>
        <v>16.901175640073269</v>
      </c>
      <c r="E6" s="25">
        <f>PERCENTILE('Multiple Engine'!I4:I9,0.25)</f>
        <v>4.8801757790497451</v>
      </c>
      <c r="F6" s="29"/>
      <c r="G6" s="31" t="s">
        <v>68</v>
      </c>
      <c r="H6" s="25">
        <f>PERCENTILE('Multiple Engine'!F4:F8,0.25)</f>
        <v>2.2860850358917726</v>
      </c>
      <c r="I6" s="25">
        <f>PERCENTILE('Multiple Engine'!G4:G8,0.25)</f>
        <v>9.8487123287671228</v>
      </c>
      <c r="J6" s="25">
        <f>PERCENTILE('Multiple Engine'!H4:H8,0.25)</f>
        <v>16.564828614008942</v>
      </c>
      <c r="K6" s="25">
        <f>PERCENTILE('Multiple Engine'!I4:I8,0.25)</f>
        <v>4.4464750698856417</v>
      </c>
    </row>
    <row r="7" spans="1:11" ht="15" customHeight="1" x14ac:dyDescent="0.3">
      <c r="A7" s="32" t="s">
        <v>69</v>
      </c>
      <c r="B7" s="33">
        <f>MEDIAN('Multiple Engine'!F4:F9)</f>
        <v>2.803003037972978</v>
      </c>
      <c r="C7" s="33">
        <f>MEDIAN('Multiple Engine'!G4:G9)</f>
        <v>11.638930568889624</v>
      </c>
      <c r="D7" s="33">
        <f>MEDIAN('Multiple Engine'!H4:H9)</f>
        <v>19.003367580091417</v>
      </c>
      <c r="E7" s="33">
        <f>MEDIAN('Multiple Engine'!I4:I9)</f>
        <v>6.3354388889209634</v>
      </c>
      <c r="F7" s="29"/>
      <c r="G7" s="32" t="s">
        <v>69</v>
      </c>
      <c r="H7" s="33">
        <f>MEDIAN('Multiple Engine'!F4:F8)</f>
        <v>2.6474436219659148</v>
      </c>
      <c r="I7" s="33">
        <f>MEDIAN('Multiple Engine'!G4:G8)</f>
        <v>11.206432566350676</v>
      </c>
      <c r="J7" s="33">
        <f>MEDIAN('Multiple Engine'!H4:H8)</f>
        <v>17.910216718266255</v>
      </c>
      <c r="K7" s="33">
        <f>MEDIAN('Multiple Engine'!I4:I8)</f>
        <v>6.1812779065420562</v>
      </c>
    </row>
    <row r="8" spans="1:11" ht="15" customHeight="1" x14ac:dyDescent="0.3">
      <c r="A8" s="31" t="s">
        <v>70</v>
      </c>
      <c r="B8" s="25">
        <f>AVERAGE('Multiple Engine'!F4:F9)</f>
        <v>3.071578903278597</v>
      </c>
      <c r="C8" s="25">
        <f>AVERAGE('Multiple Engine'!G4:G9)</f>
        <v>16.136802574358374</v>
      </c>
      <c r="D8" s="25">
        <f>AVERAGE('Multiple Engine'!H4:H9)</f>
        <v>26.403689750124869</v>
      </c>
      <c r="E8" s="25">
        <f>AVERAGE('Multiple Engine'!I4:I9)</f>
        <v>6.9789713586977493</v>
      </c>
      <c r="F8" s="29"/>
      <c r="G8" s="31" t="s">
        <v>70</v>
      </c>
      <c r="H8" s="25">
        <f>AVERAGE('Multiple Engine'!F4:F8)</f>
        <v>2.6308453104383407</v>
      </c>
      <c r="I8" s="25">
        <f>AVERAGE('Multiple Engine'!G4:G8)</f>
        <v>11.858614092771962</v>
      </c>
      <c r="J8" s="25">
        <f>AVERAGE('Multiple Engine'!H4:H8)</f>
        <v>19.473641368326046</v>
      </c>
      <c r="K8" s="25">
        <f>AVERAGE('Multiple Engine'!I4:I8)</f>
        <v>5.5678395620612307</v>
      </c>
    </row>
    <row r="9" spans="1:11" ht="15" customHeight="1" x14ac:dyDescent="0.3">
      <c r="A9" s="30" t="s">
        <v>71</v>
      </c>
      <c r="B9" s="20">
        <f>PERCENTILE('Multiple Engine'!F4:F9,0.75)</f>
        <v>3.1730838559372154</v>
      </c>
      <c r="C9" s="20">
        <f>PERCENTILE('Multiple Engine'!G4:G9,0.75)</f>
        <v>15.462627889352028</v>
      </c>
      <c r="D9" s="20">
        <f>PERCENTILE('Multiple Engine'!H4:H9,0.75)</f>
        <v>26.195246115333511</v>
      </c>
      <c r="E9" s="20">
        <f>PERCENTILE('Multiple Engine'!I4:I9,0.75)</f>
        <v>8.0257305803626249</v>
      </c>
      <c r="F9" s="29"/>
      <c r="G9" s="30" t="s">
        <v>71</v>
      </c>
      <c r="H9" s="20">
        <f>PERCENTILE('Multiple Engine'!F4:F8,0.75)</f>
        <v>2.9585624539800413</v>
      </c>
      <c r="I9" s="20">
        <f>PERCENTILE('Multiple Engine'!G4:G8,0.75)</f>
        <v>12.071428571428571</v>
      </c>
      <c r="J9" s="20">
        <f>PERCENTILE('Multiple Engine'!H4:H8,0.75)</f>
        <v>20.096518441916579</v>
      </c>
      <c r="K9" s="20">
        <f>PERCENTILE('Multiple Engine'!I4:I8,0.75)</f>
        <v>6.4895998712998715</v>
      </c>
    </row>
    <row r="10" spans="1:11" ht="15" customHeight="1" x14ac:dyDescent="0.3">
      <c r="A10" s="31" t="s">
        <v>72</v>
      </c>
      <c r="B10" s="25">
        <f>MAX('Multiple Engine'!F4:F9)</f>
        <v>5.2752468674798774</v>
      </c>
      <c r="C10" s="25">
        <f>MAX('Multiple Engine'!G4:G9)</f>
        <v>37.527744982290436</v>
      </c>
      <c r="D10" s="25">
        <f>MAX('Multiple Engine'!H4:H9)</f>
        <v>61.05393165911898</v>
      </c>
      <c r="E10" s="25">
        <f>MAX('Multiple Engine'!I4:I9)</f>
        <v>14.034630341880343</v>
      </c>
      <c r="F10" s="29"/>
      <c r="G10" s="31" t="s">
        <v>72</v>
      </c>
      <c r="H10" s="25">
        <f>MAX('Multiple Engine'!F4:F8)</f>
        <v>3.2445909899229401</v>
      </c>
      <c r="I10" s="25">
        <f>MAX('Multiple Engine'!G4:G8)</f>
        <v>16.59302766199318</v>
      </c>
      <c r="J10" s="25">
        <f>MAX('Multiple Engine'!H4:H8)</f>
        <v>28.228155339805824</v>
      </c>
      <c r="K10" s="25">
        <f>MAX('Multiple Engine'!I4:I8)</f>
        <v>8.5377741500502093</v>
      </c>
    </row>
    <row r="11" spans="1:11" ht="27.75" customHeight="1" x14ac:dyDescent="0.3">
      <c r="A11" s="59" t="s">
        <v>73</v>
      </c>
      <c r="B11" s="60"/>
      <c r="C11" s="60"/>
      <c r="D11" s="60"/>
      <c r="E11" s="60"/>
      <c r="F11" s="60"/>
      <c r="G11" s="60"/>
      <c r="H11" s="60"/>
      <c r="I11" s="60"/>
      <c r="J11" s="60"/>
      <c r="K11" s="61"/>
    </row>
  </sheetData>
  <mergeCells count="1">
    <mergeCell ref="A11:K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45309"/>
  </sheetPr>
  <dimension ref="A1:C20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16" customWidth="1"/>
    <col min="3" max="3" width="32" customWidth="1"/>
  </cols>
  <sheetData>
    <row r="1" spans="1:3" ht="24" customHeight="1" x14ac:dyDescent="0.3">
      <c r="A1" s="1" t="s">
        <v>74</v>
      </c>
    </row>
    <row r="2" spans="1:3" ht="13.5" customHeight="1" x14ac:dyDescent="0.3">
      <c r="A2" s="2" t="s">
        <v>75</v>
      </c>
    </row>
    <row r="3" spans="1:3" ht="18" customHeight="1" x14ac:dyDescent="0.3">
      <c r="A3" s="3" t="s">
        <v>76</v>
      </c>
      <c r="B3" s="9" t="s">
        <v>77</v>
      </c>
      <c r="C3" s="9" t="s">
        <v>35</v>
      </c>
    </row>
    <row r="4" spans="1:3" ht="15" customHeight="1" x14ac:dyDescent="0.3">
      <c r="A4" s="5" t="s">
        <v>78</v>
      </c>
      <c r="B4" s="34" t="s">
        <v>79</v>
      </c>
      <c r="C4" s="7"/>
    </row>
    <row r="5" spans="1:3" ht="15" customHeight="1" x14ac:dyDescent="0.3">
      <c r="A5" s="35" t="s">
        <v>80</v>
      </c>
      <c r="B5" s="13">
        <v>875</v>
      </c>
      <c r="C5" s="36"/>
    </row>
    <row r="6" spans="1:3" ht="15" customHeight="1" x14ac:dyDescent="0.3">
      <c r="A6" s="5" t="s">
        <v>81</v>
      </c>
      <c r="B6" s="12">
        <v>35</v>
      </c>
      <c r="C6" s="7"/>
    </row>
    <row r="7" spans="1:3" ht="15" customHeight="1" x14ac:dyDescent="0.3">
      <c r="A7" s="35" t="s">
        <v>82</v>
      </c>
      <c r="B7" s="23">
        <f>B5*B6</f>
        <v>30625</v>
      </c>
      <c r="C7" s="36" t="s">
        <v>83</v>
      </c>
    </row>
    <row r="8" spans="1:3" ht="15" customHeight="1" x14ac:dyDescent="0.3">
      <c r="A8" s="5" t="s">
        <v>84</v>
      </c>
      <c r="B8" s="11">
        <v>500</v>
      </c>
      <c r="C8" s="7"/>
    </row>
    <row r="9" spans="1:3" ht="15" customHeight="1" x14ac:dyDescent="0.3">
      <c r="A9" s="35" t="s">
        <v>85</v>
      </c>
      <c r="B9" s="11">
        <v>1200</v>
      </c>
      <c r="C9" s="36"/>
    </row>
    <row r="10" spans="1:3" ht="15" customHeight="1" x14ac:dyDescent="0.3">
      <c r="A10" s="5" t="s">
        <v>86</v>
      </c>
      <c r="B10" s="18">
        <f>B8-B9</f>
        <v>-700</v>
      </c>
      <c r="C10" s="7" t="s">
        <v>87</v>
      </c>
    </row>
    <row r="11" spans="1:3" ht="15" customHeight="1" x14ac:dyDescent="0.3">
      <c r="A11" s="35" t="s">
        <v>88</v>
      </c>
      <c r="B11" s="23">
        <f>B7+B10</f>
        <v>29925</v>
      </c>
      <c r="C11" s="36" t="s">
        <v>89</v>
      </c>
    </row>
    <row r="12" spans="1:3" ht="15" customHeight="1" x14ac:dyDescent="0.3">
      <c r="A12" s="5" t="s">
        <v>90</v>
      </c>
      <c r="B12" s="11">
        <v>8500</v>
      </c>
      <c r="C12" s="7"/>
    </row>
    <row r="13" spans="1:3" ht="15" customHeight="1" x14ac:dyDescent="0.3">
      <c r="A13" s="35" t="s">
        <v>91</v>
      </c>
      <c r="B13" s="11">
        <v>1530</v>
      </c>
      <c r="C13" s="36"/>
    </row>
    <row r="14" spans="1:3" ht="15" customHeight="1" x14ac:dyDescent="0.3">
      <c r="A14" s="5" t="s">
        <v>52</v>
      </c>
      <c r="B14" s="19">
        <f>B13/B12</f>
        <v>0.18</v>
      </c>
      <c r="C14" s="7" t="s">
        <v>92</v>
      </c>
    </row>
    <row r="15" spans="1:3" ht="15" customHeight="1" x14ac:dyDescent="0.3">
      <c r="A15" s="35" t="s">
        <v>93</v>
      </c>
      <c r="B15" s="11">
        <v>950</v>
      </c>
      <c r="C15" s="36"/>
    </row>
    <row r="16" spans="1:3" ht="15" customHeight="1" x14ac:dyDescent="0.3">
      <c r="A16" s="5" t="s">
        <v>53</v>
      </c>
      <c r="B16" s="19">
        <f>B15/B12</f>
        <v>0.11176470588235295</v>
      </c>
      <c r="C16" s="7" t="s">
        <v>94</v>
      </c>
    </row>
    <row r="17" spans="1:3" ht="15" customHeight="1" x14ac:dyDescent="0.3">
      <c r="A17" s="35" t="s">
        <v>32</v>
      </c>
      <c r="B17" s="13">
        <v>27.14</v>
      </c>
      <c r="C17" s="36"/>
    </row>
    <row r="18" spans="1:3" ht="15" customHeight="1" x14ac:dyDescent="0.3">
      <c r="A18" s="5" t="s">
        <v>33</v>
      </c>
      <c r="B18" s="14">
        <v>19.5</v>
      </c>
      <c r="C18" s="7"/>
    </row>
    <row r="19" spans="1:3" ht="15" customHeight="1" x14ac:dyDescent="0.3">
      <c r="A19" s="35" t="s">
        <v>34</v>
      </c>
      <c r="B19" s="14">
        <v>25.8</v>
      </c>
      <c r="C19" s="36"/>
    </row>
    <row r="20" spans="1:3" ht="15" customHeight="1" x14ac:dyDescent="0.3">
      <c r="A20" s="5" t="s">
        <v>95</v>
      </c>
      <c r="B20" s="21">
        <f>(B15/(B18/100))/B6</f>
        <v>139.19413919413921</v>
      </c>
      <c r="C20" s="7" t="s"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76749"/>
  </sheetPr>
  <dimension ref="A1:G23"/>
  <sheetViews>
    <sheetView zoomScaleNormal="100" workbookViewId="0">
      <selection activeCell="A23" sqref="A23:G23"/>
    </sheetView>
  </sheetViews>
  <sheetFormatPr defaultColWidth="8.6640625" defaultRowHeight="14.4" x14ac:dyDescent="0.3"/>
  <cols>
    <col min="1" max="1" width="20" customWidth="1"/>
    <col min="2" max="2" width="14" customWidth="1"/>
    <col min="3" max="3" width="16" customWidth="1"/>
    <col min="4" max="4" width="17" customWidth="1"/>
    <col min="5" max="5" width="16" customWidth="1"/>
    <col min="6" max="7" width="14" customWidth="1"/>
  </cols>
  <sheetData>
    <row r="1" spans="1:7" ht="24" customHeight="1" x14ac:dyDescent="0.3">
      <c r="A1" s="1" t="s">
        <v>97</v>
      </c>
    </row>
    <row r="2" spans="1:7" ht="13.5" customHeight="1" x14ac:dyDescent="0.3">
      <c r="A2" s="2" t="s">
        <v>98</v>
      </c>
    </row>
    <row r="3" spans="1:7" ht="18" customHeight="1" x14ac:dyDescent="0.3">
      <c r="A3" s="9" t="s">
        <v>99</v>
      </c>
      <c r="B3" s="9" t="s">
        <v>100</v>
      </c>
      <c r="C3" s="9" t="s">
        <v>101</v>
      </c>
      <c r="D3" s="9" t="s">
        <v>102</v>
      </c>
      <c r="E3" s="9" t="s">
        <v>103</v>
      </c>
      <c r="F3" s="9" t="s">
        <v>104</v>
      </c>
      <c r="G3" s="9" t="s">
        <v>105</v>
      </c>
    </row>
    <row r="4" spans="1:7" ht="15" customHeight="1" x14ac:dyDescent="0.3">
      <c r="A4" s="10" t="s">
        <v>106</v>
      </c>
      <c r="B4" s="37">
        <f>Statistics!B7</f>
        <v>2.803003037972978</v>
      </c>
      <c r="C4" s="18">
        <f>Statistics!B7*Target!B12</f>
        <v>23825.525822770313</v>
      </c>
      <c r="D4" s="18">
        <f>C4-(Target!B10)</f>
        <v>24525.525822770313</v>
      </c>
      <c r="E4" s="21">
        <f>D4/Target!B6</f>
        <v>700.72930922200896</v>
      </c>
      <c r="F4" s="21">
        <f>Target!B5</f>
        <v>875</v>
      </c>
      <c r="G4" s="38">
        <f>E4/F4-1</f>
        <v>-0.19916650374627543</v>
      </c>
    </row>
    <row r="5" spans="1:7" ht="15" customHeight="1" x14ac:dyDescent="0.3">
      <c r="A5" s="16" t="s">
        <v>107</v>
      </c>
      <c r="B5" s="39">
        <f>Statistics!C7</f>
        <v>11.638930568889624</v>
      </c>
      <c r="C5" s="23">
        <f>Statistics!C7*Target!B13</f>
        <v>17807.563770401124</v>
      </c>
      <c r="D5" s="23">
        <f>C5-(Target!B10)</f>
        <v>18507.563770401124</v>
      </c>
      <c r="E5" s="26">
        <f>D5/Target!B6</f>
        <v>528.78753629717494</v>
      </c>
      <c r="F5" s="26">
        <f>Target!B5</f>
        <v>875</v>
      </c>
      <c r="G5" s="40">
        <f>E5/F5-1</f>
        <v>-0.39567138708894289</v>
      </c>
    </row>
    <row r="6" spans="1:7" ht="15" customHeight="1" x14ac:dyDescent="0.3">
      <c r="A6" s="10" t="s">
        <v>108</v>
      </c>
      <c r="B6" s="37">
        <f>Statistics!D7</f>
        <v>19.003367580091417</v>
      </c>
      <c r="C6" s="18">
        <f>Target!B17*Statistics!D7*Target!B6+(Target!B10)</f>
        <v>17351.298864328837</v>
      </c>
      <c r="D6" s="18">
        <f>Target!B17*Statistics!D7*Target!B6</f>
        <v>18051.298864328837</v>
      </c>
      <c r="E6" s="21">
        <f>Target!B17*Statistics!D7</f>
        <v>515.75139612368105</v>
      </c>
      <c r="F6" s="21">
        <f>Target!B5</f>
        <v>875</v>
      </c>
      <c r="G6" s="38">
        <f>E6/F6-1</f>
        <v>-0.4105698330015074</v>
      </c>
    </row>
    <row r="7" spans="1:7" ht="15" customHeight="1" x14ac:dyDescent="0.3">
      <c r="A7" s="16" t="s">
        <v>109</v>
      </c>
      <c r="B7" s="39">
        <f>Statistics!E7</f>
        <v>6.3354388889209634</v>
      </c>
      <c r="C7" s="23">
        <f>Target!B20*Target!B6*Statistics!E7+(Target!B10)</f>
        <v>30164.958689614952</v>
      </c>
      <c r="D7" s="23">
        <f>Target!B20*Target!B6*Statistics!E7</f>
        <v>30864.958689614952</v>
      </c>
      <c r="E7" s="26">
        <f>Target!B20*Statistics!E7</f>
        <v>881.8559625604272</v>
      </c>
      <c r="F7" s="26">
        <f>Target!B5</f>
        <v>875</v>
      </c>
      <c r="G7" s="40">
        <f>E7/F7-1</f>
        <v>7.8353857833453056E-3</v>
      </c>
    </row>
    <row r="9" spans="1:7" ht="18" customHeight="1" x14ac:dyDescent="0.3">
      <c r="A9" s="3" t="s">
        <v>110</v>
      </c>
      <c r="B9" s="6"/>
      <c r="C9" s="6"/>
      <c r="D9" s="6"/>
      <c r="E9" s="6"/>
      <c r="F9" s="6"/>
      <c r="G9" s="6"/>
    </row>
    <row r="10" spans="1:7" ht="15" customHeight="1" x14ac:dyDescent="0.3">
      <c r="A10" s="9" t="s">
        <v>111</v>
      </c>
      <c r="B10" s="9" t="s">
        <v>103</v>
      </c>
      <c r="C10" s="9" t="s">
        <v>112</v>
      </c>
      <c r="D10" s="9" t="s">
        <v>113</v>
      </c>
      <c r="E10" s="41"/>
      <c r="F10" s="41"/>
      <c r="G10" s="41"/>
    </row>
    <row r="11" spans="1:7" ht="15" customHeight="1" x14ac:dyDescent="0.3">
      <c r="A11" s="42" t="s">
        <v>114</v>
      </c>
      <c r="B11" s="43">
        <f>MIN(E4:E7)</f>
        <v>515.75139612368105</v>
      </c>
      <c r="C11" s="44">
        <f>B11/Target!B5-1</f>
        <v>-0.4105698330015074</v>
      </c>
      <c r="D11" s="45" t="s">
        <v>115</v>
      </c>
      <c r="E11" s="42"/>
      <c r="F11" s="42"/>
      <c r="G11" s="42"/>
    </row>
    <row r="12" spans="1:7" ht="15" customHeight="1" x14ac:dyDescent="0.3">
      <c r="A12" s="32" t="s">
        <v>116</v>
      </c>
      <c r="B12" s="46">
        <f>MEDIAN(E4:E7)</f>
        <v>614.75842275959189</v>
      </c>
      <c r="C12" s="47">
        <f>B12/Target!B5-1</f>
        <v>-0.29741894541760927</v>
      </c>
      <c r="D12" s="48" t="s">
        <v>117</v>
      </c>
      <c r="E12" s="49"/>
      <c r="F12" s="49"/>
      <c r="G12" s="49"/>
    </row>
    <row r="13" spans="1:7" ht="15" customHeight="1" x14ac:dyDescent="0.3">
      <c r="A13" s="50" t="s">
        <v>118</v>
      </c>
      <c r="B13" s="51">
        <f>MAX(E4:E7)</f>
        <v>881.8559625604272</v>
      </c>
      <c r="C13" s="52">
        <f>B13/Target!B5-1</f>
        <v>7.8353857833453056E-3</v>
      </c>
      <c r="D13" s="53" t="s">
        <v>119</v>
      </c>
      <c r="E13" s="50"/>
      <c r="F13" s="50"/>
      <c r="G13" s="50"/>
    </row>
    <row r="14" spans="1:7" ht="15" customHeight="1" x14ac:dyDescent="0.3">
      <c r="A14" s="5" t="s">
        <v>120</v>
      </c>
      <c r="B14" s="21">
        <f>Target!B5</f>
        <v>875</v>
      </c>
      <c r="C14" s="38"/>
      <c r="D14" s="54" t="s">
        <v>121</v>
      </c>
      <c r="E14" s="5"/>
      <c r="F14" s="5"/>
      <c r="G14" s="5"/>
    </row>
    <row r="16" spans="1:7" ht="18" customHeight="1" x14ac:dyDescent="0.3">
      <c r="A16" s="3" t="s">
        <v>122</v>
      </c>
      <c r="B16" s="6"/>
      <c r="C16" s="6"/>
      <c r="D16" s="6"/>
      <c r="E16" s="6"/>
      <c r="F16" s="6"/>
      <c r="G16" s="6"/>
    </row>
    <row r="17" spans="1:7" ht="15" customHeight="1" x14ac:dyDescent="0.3">
      <c r="A17" s="9" t="s">
        <v>99</v>
      </c>
      <c r="B17" s="9" t="s">
        <v>123</v>
      </c>
      <c r="C17" s="9" t="s">
        <v>124</v>
      </c>
      <c r="D17" s="9" t="s">
        <v>125</v>
      </c>
      <c r="E17" s="9" t="s">
        <v>126</v>
      </c>
      <c r="F17" s="9" t="s">
        <v>127</v>
      </c>
      <c r="G17" s="9" t="s">
        <v>128</v>
      </c>
    </row>
    <row r="18" spans="1:7" ht="15" customHeight="1" x14ac:dyDescent="0.3">
      <c r="A18" s="10" t="s">
        <v>106</v>
      </c>
      <c r="B18" s="21">
        <f>(Statistics!B5*Target!B12-(Target!B10))/Target!B6</f>
        <v>509.97508081896552</v>
      </c>
      <c r="C18" s="21">
        <f>(Statistics!B6*Target!B12-(Target!B10))/Target!B6</f>
        <v>597.13170858536057</v>
      </c>
      <c r="D18" s="55">
        <f>(Statistics!B7*Target!B12-(Target!B10))/Target!B6</f>
        <v>700.72930922200896</v>
      </c>
      <c r="E18" s="21">
        <f>(Statistics!B9*Target!B12-(Target!B10))/Target!B6</f>
        <v>790.60607929903802</v>
      </c>
      <c r="F18" s="21">
        <f>(Statistics!B10*Target!B12-(Target!B10))/Target!B6</f>
        <v>1301.1313821022559</v>
      </c>
      <c r="G18" s="56">
        <f>Target!B5</f>
        <v>875</v>
      </c>
    </row>
    <row r="19" spans="1:7" ht="15" customHeight="1" x14ac:dyDescent="0.3">
      <c r="A19" s="16" t="s">
        <v>107</v>
      </c>
      <c r="B19" s="26">
        <f>(Statistics!C5*Target!B13-(Target!B10))/Target!B6</f>
        <v>438.49737380114294</v>
      </c>
      <c r="C19" s="26">
        <f>(Statistics!C6*Target!B13-(Target!B10))/Target!B6</f>
        <v>465.3673672539831</v>
      </c>
      <c r="D19" s="57">
        <f>(Statistics!C7*Target!B13-(Target!B10))/Target!B6</f>
        <v>528.78753629717494</v>
      </c>
      <c r="E19" s="26">
        <f>(Statistics!C9*Target!B13-(Target!B10))/Target!B6</f>
        <v>695.9377334488172</v>
      </c>
      <c r="F19" s="26">
        <f>(Statistics!C10*Target!B13-(Target!B10))/Target!B6</f>
        <v>1660.4985663686962</v>
      </c>
      <c r="G19" s="58">
        <f>Target!B5</f>
        <v>875</v>
      </c>
    </row>
    <row r="20" spans="1:7" ht="15" customHeight="1" x14ac:dyDescent="0.3">
      <c r="A20" s="10" t="s">
        <v>108</v>
      </c>
      <c r="B20" s="21">
        <f>Statistics!D5*Target!B17</f>
        <v>395.38875692794932</v>
      </c>
      <c r="C20" s="21">
        <f>Statistics!D6*Target!B17</f>
        <v>458.69790687158854</v>
      </c>
      <c r="D20" s="55">
        <f>Statistics!D7*Target!B17</f>
        <v>515.75139612368105</v>
      </c>
      <c r="E20" s="21">
        <f>Statistics!D9*Target!B17</f>
        <v>710.93897957015145</v>
      </c>
      <c r="F20" s="21">
        <f>Statistics!D10*Target!B17</f>
        <v>1657.0037052284893</v>
      </c>
      <c r="G20" s="56">
        <f>Target!B5</f>
        <v>875</v>
      </c>
    </row>
    <row r="21" spans="1:7" ht="15" customHeight="1" x14ac:dyDescent="0.3">
      <c r="A21" s="16" t="s">
        <v>109</v>
      </c>
      <c r="B21" s="26">
        <f>Statistics!E5*Target!B20</f>
        <v>304.00985668893071</v>
      </c>
      <c r="C21" s="26">
        <f>Statistics!E6*Target!B20</f>
        <v>679.291866680917</v>
      </c>
      <c r="D21" s="57">
        <f>Statistics!E7*Target!B20</f>
        <v>881.8559625604272</v>
      </c>
      <c r="E21" s="26">
        <f>Statistics!E9*Target!B20</f>
        <v>1117.1346595376549</v>
      </c>
      <c r="F21" s="26">
        <f>Statistics!E10*Target!B20</f>
        <v>1953.5382893459821</v>
      </c>
      <c r="G21" s="58">
        <f>Target!B5</f>
        <v>875</v>
      </c>
    </row>
    <row r="23" spans="1:7" ht="24" customHeight="1" x14ac:dyDescent="0.3">
      <c r="A23" s="59" t="s">
        <v>129</v>
      </c>
      <c r="B23" s="60"/>
      <c r="C23" s="60"/>
      <c r="D23" s="60"/>
      <c r="E23" s="60"/>
      <c r="F23" s="60"/>
      <c r="G23" s="61"/>
    </row>
  </sheetData>
  <mergeCells count="1">
    <mergeCell ref="A23:G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Peer Data</vt:lpstr>
      <vt:lpstr>Multiple Engine</vt:lpstr>
      <vt:lpstr>Statistics</vt:lpstr>
      <vt:lpstr>Target</vt:lpstr>
      <vt:lpstr>Implied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PREETHAM S</cp:lastModifiedBy>
  <cp:revision>0</cp:revision>
  <dcterms:created xsi:type="dcterms:W3CDTF">2026-06-19T23:46:46Z</dcterms:created>
  <dcterms:modified xsi:type="dcterms:W3CDTF">2026-06-19T23:50:51Z</dcterms:modified>
  <dc:language>en-US</dc:language>
</cp:coreProperties>
</file>