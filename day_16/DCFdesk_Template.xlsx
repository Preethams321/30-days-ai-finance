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C2758C1-46AD-4E29-8E8C-12D7E6475F86}" xr6:coauthVersionLast="47" xr6:coauthVersionMax="47" xr10:uidLastSave="{00000000-0000-0000-0000-000000000000}"/>
  <bookViews>
    <workbookView xWindow="-108" yWindow="-108" windowWidth="23256" windowHeight="13176" tabRatio="500" activeTab="8" xr2:uid="{00000000-000D-0000-FFFF-FFFF00000000}"/>
  </bookViews>
  <sheets>
    <sheet name="Read Me" sheetId="1" r:id="rId1"/>
    <sheet name="Assumptions" sheetId="2" r:id="rId2"/>
    <sheet name="Income Stmt" sheetId="3" r:id="rId3"/>
    <sheet name="FCFF Build" sheetId="4" r:id="rId4"/>
    <sheet name="WACC" sheetId="5" r:id="rId5"/>
    <sheet name="DCF Valuation" sheetId="6" r:id="rId6"/>
    <sheet name="Sensitivity" sheetId="7" r:id="rId7"/>
    <sheet name="Reverse DCF" sheetId="8" r:id="rId8"/>
    <sheet name="Football Field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9" l="1"/>
  <c r="E15" i="9"/>
  <c r="D12" i="9"/>
  <c r="B12" i="9"/>
  <c r="E6" i="9"/>
  <c r="E5" i="9"/>
  <c r="B8" i="8"/>
  <c r="B6" i="8"/>
  <c r="B5" i="8"/>
  <c r="B7" i="8" s="1"/>
  <c r="B9" i="8" s="1"/>
  <c r="E32" i="6"/>
  <c r="D32" i="6"/>
  <c r="C32" i="6"/>
  <c r="E30" i="6"/>
  <c r="D30" i="6"/>
  <c r="C30" i="6"/>
  <c r="E28" i="6"/>
  <c r="D28" i="6"/>
  <c r="C28" i="6"/>
  <c r="E21" i="6"/>
  <c r="D21" i="6"/>
  <c r="C21" i="6"/>
  <c r="E13" i="6"/>
  <c r="D13" i="6"/>
  <c r="C13" i="6"/>
  <c r="E18" i="5"/>
  <c r="E21" i="5" s="1"/>
  <c r="D18" i="5"/>
  <c r="C18" i="5"/>
  <c r="E17" i="5"/>
  <c r="D17" i="5"/>
  <c r="C17" i="5"/>
  <c r="E13" i="5"/>
  <c r="D13" i="5"/>
  <c r="C13" i="5"/>
  <c r="E12" i="5"/>
  <c r="E14" i="5" s="1"/>
  <c r="D12" i="5"/>
  <c r="D14" i="5" s="1"/>
  <c r="C12" i="5"/>
  <c r="C14" i="5" s="1"/>
  <c r="D9" i="5"/>
  <c r="E8" i="5"/>
  <c r="E9" i="5" s="1"/>
  <c r="D8" i="5"/>
  <c r="C8" i="5"/>
  <c r="C9" i="5" s="1"/>
  <c r="E7" i="5"/>
  <c r="D7" i="5"/>
  <c r="C7" i="5"/>
  <c r="E6" i="5"/>
  <c r="D6" i="5"/>
  <c r="C6" i="5"/>
  <c r="B37" i="4"/>
  <c r="G33" i="4"/>
  <c r="F33" i="4"/>
  <c r="E33" i="4"/>
  <c r="D33" i="4"/>
  <c r="C33" i="4"/>
  <c r="B33" i="4"/>
  <c r="B24" i="4"/>
  <c r="G20" i="4"/>
  <c r="F20" i="4"/>
  <c r="E20" i="4"/>
  <c r="D20" i="4"/>
  <c r="C20" i="4"/>
  <c r="B20" i="4"/>
  <c r="B11" i="4"/>
  <c r="G7" i="4"/>
  <c r="F7" i="4"/>
  <c r="E7" i="4"/>
  <c r="D7" i="4"/>
  <c r="C7" i="4"/>
  <c r="B7" i="4"/>
  <c r="G37" i="3"/>
  <c r="F37" i="3"/>
  <c r="E37" i="3"/>
  <c r="D37" i="3"/>
  <c r="C37" i="3"/>
  <c r="B37" i="3"/>
  <c r="B36" i="3"/>
  <c r="B41" i="3" s="1"/>
  <c r="B36" i="4" s="1"/>
  <c r="G22" i="3"/>
  <c r="C12" i="9" s="1"/>
  <c r="F22" i="3"/>
  <c r="E22" i="3"/>
  <c r="D22" i="3"/>
  <c r="C22" i="3"/>
  <c r="B22" i="3"/>
  <c r="B23" i="3" s="1"/>
  <c r="B21" i="3"/>
  <c r="C21" i="3" s="1"/>
  <c r="G7" i="3"/>
  <c r="F7" i="3"/>
  <c r="E7" i="3"/>
  <c r="D7" i="3"/>
  <c r="C7" i="3"/>
  <c r="B7" i="3"/>
  <c r="B6" i="3"/>
  <c r="B8" i="3" s="1"/>
  <c r="B39" i="3" l="1"/>
  <c r="B35" i="4" s="1"/>
  <c r="B38" i="3"/>
  <c r="B40" i="3" s="1"/>
  <c r="B32" i="4" s="1"/>
  <c r="B34" i="4" s="1"/>
  <c r="B38" i="4" s="1"/>
  <c r="D21" i="5"/>
  <c r="E6" i="6"/>
  <c r="D14" i="9"/>
  <c r="C27" i="3"/>
  <c r="C24" i="4" s="1"/>
  <c r="C24" i="3"/>
  <c r="C22" i="4" s="1"/>
  <c r="C23" i="3"/>
  <c r="C25" i="3" s="1"/>
  <c r="C19" i="4" s="1"/>
  <c r="C21" i="4" s="1"/>
  <c r="D21" i="3"/>
  <c r="C26" i="3"/>
  <c r="C23" i="4" s="1"/>
  <c r="C36" i="3"/>
  <c r="B9" i="3"/>
  <c r="B9" i="4" s="1"/>
  <c r="C6" i="3"/>
  <c r="B11" i="3"/>
  <c r="B10" i="4" s="1"/>
  <c r="C21" i="5"/>
  <c r="B26" i="3"/>
  <c r="B23" i="4" s="1"/>
  <c r="B24" i="3"/>
  <c r="C25" i="4" l="1"/>
  <c r="B22" i="4"/>
  <c r="B25" i="3"/>
  <c r="B19" i="4" s="1"/>
  <c r="B21" i="4" s="1"/>
  <c r="B25" i="4" s="1"/>
  <c r="C6" i="6"/>
  <c r="B14" i="9"/>
  <c r="C8" i="3"/>
  <c r="C11" i="3"/>
  <c r="C10" i="4" s="1"/>
  <c r="D6" i="3"/>
  <c r="C12" i="3"/>
  <c r="C11" i="4" s="1"/>
  <c r="C9" i="3"/>
  <c r="C9" i="4" s="1"/>
  <c r="C39" i="3"/>
  <c r="C35" i="4" s="1"/>
  <c r="C42" i="3"/>
  <c r="C37" i="4" s="1"/>
  <c r="C41" i="3"/>
  <c r="C36" i="4" s="1"/>
  <c r="D36" i="3"/>
  <c r="C38" i="3"/>
  <c r="C40" i="3" s="1"/>
  <c r="C32" i="4" s="1"/>
  <c r="C34" i="4" s="1"/>
  <c r="C38" i="4" s="1"/>
  <c r="D24" i="3"/>
  <c r="D22" i="4" s="1"/>
  <c r="E21" i="3"/>
  <c r="D26" i="3"/>
  <c r="D23" i="4" s="1"/>
  <c r="D23" i="3"/>
  <c r="D27" i="3"/>
  <c r="D24" i="4" s="1"/>
  <c r="B15" i="8"/>
  <c r="B20" i="8"/>
  <c r="B19" i="8"/>
  <c r="B14" i="8"/>
  <c r="D6" i="6"/>
  <c r="B18" i="8"/>
  <c r="C14" i="9"/>
  <c r="B16" i="8"/>
  <c r="B22" i="8"/>
  <c r="B21" i="8"/>
  <c r="B17" i="8"/>
  <c r="B10" i="3"/>
  <c r="B6" i="4" s="1"/>
  <c r="B8" i="4" s="1"/>
  <c r="B12" i="4" s="1"/>
  <c r="F21" i="3" l="1"/>
  <c r="E26" i="3"/>
  <c r="E23" i="4" s="1"/>
  <c r="E23" i="3"/>
  <c r="E24" i="3"/>
  <c r="E22" i="4" s="1"/>
  <c r="E27" i="3"/>
  <c r="E24" i="4" s="1"/>
  <c r="D17" i="8"/>
  <c r="C17" i="8"/>
  <c r="D21" i="8"/>
  <c r="C21" i="8"/>
  <c r="D39" i="3"/>
  <c r="D35" i="4" s="1"/>
  <c r="D42" i="3"/>
  <c r="D37" i="4" s="1"/>
  <c r="E36" i="3"/>
  <c r="D41" i="3"/>
  <c r="D36" i="4" s="1"/>
  <c r="D38" i="3"/>
  <c r="D18" i="8"/>
  <c r="C18" i="8"/>
  <c r="C16" i="8"/>
  <c r="D16" i="8"/>
  <c r="D14" i="8"/>
  <c r="C14" i="8"/>
  <c r="D19" i="8"/>
  <c r="C19" i="8"/>
  <c r="D12" i="3"/>
  <c r="D11" i="4" s="1"/>
  <c r="E6" i="3"/>
  <c r="D9" i="3"/>
  <c r="D9" i="4" s="1"/>
  <c r="D8" i="3"/>
  <c r="D10" i="3" s="1"/>
  <c r="D6" i="4" s="1"/>
  <c r="D8" i="4" s="1"/>
  <c r="D11" i="3"/>
  <c r="D10" i="4" s="1"/>
  <c r="C15" i="8"/>
  <c r="D15" i="8"/>
  <c r="C10" i="3"/>
  <c r="C6" i="4" s="1"/>
  <c r="C8" i="4" s="1"/>
  <c r="C12" i="4" s="1"/>
  <c r="D22" i="8"/>
  <c r="C22" i="8"/>
  <c r="D20" i="8"/>
  <c r="C20" i="8"/>
  <c r="D25" i="3"/>
  <c r="D19" i="4" s="1"/>
  <c r="D21" i="4" s="1"/>
  <c r="D25" i="4" s="1"/>
  <c r="D40" i="3" l="1"/>
  <c r="D32" i="4" s="1"/>
  <c r="D34" i="4" s="1"/>
  <c r="D38" i="4" s="1"/>
  <c r="F36" i="3"/>
  <c r="E42" i="3"/>
  <c r="E37" i="4" s="1"/>
  <c r="E39" i="3"/>
  <c r="E35" i="4" s="1"/>
  <c r="E41" i="3"/>
  <c r="E36" i="4" s="1"/>
  <c r="E38" i="3"/>
  <c r="E40" i="3" s="1"/>
  <c r="E32" i="4" s="1"/>
  <c r="E34" i="4" s="1"/>
  <c r="E38" i="4" s="1"/>
  <c r="E9" i="3"/>
  <c r="E9" i="4" s="1"/>
  <c r="E12" i="3"/>
  <c r="E11" i="4" s="1"/>
  <c r="E11" i="3"/>
  <c r="E10" i="4" s="1"/>
  <c r="E8" i="3"/>
  <c r="E10" i="3" s="1"/>
  <c r="E6" i="4" s="1"/>
  <c r="E8" i="4" s="1"/>
  <c r="E12" i="4" s="1"/>
  <c r="F6" i="3"/>
  <c r="E25" i="3"/>
  <c r="E19" i="4" s="1"/>
  <c r="E21" i="4" s="1"/>
  <c r="E25" i="4" s="1"/>
  <c r="D12" i="4"/>
  <c r="F26" i="3"/>
  <c r="F23" i="4" s="1"/>
  <c r="F23" i="3"/>
  <c r="F24" i="3"/>
  <c r="F22" i="4" s="1"/>
  <c r="F27" i="3"/>
  <c r="F24" i="4" s="1"/>
  <c r="G21" i="3"/>
  <c r="F25" i="3" l="1"/>
  <c r="F19" i="4" s="1"/>
  <c r="F21" i="4" s="1"/>
  <c r="F25" i="4" s="1"/>
  <c r="F9" i="3"/>
  <c r="F9" i="4" s="1"/>
  <c r="G6" i="3"/>
  <c r="F12" i="3"/>
  <c r="F11" i="4" s="1"/>
  <c r="F8" i="3"/>
  <c r="F11" i="3"/>
  <c r="F10" i="4" s="1"/>
  <c r="C11" i="9"/>
  <c r="G26" i="3"/>
  <c r="G23" i="4" s="1"/>
  <c r="G23" i="3"/>
  <c r="G24" i="3"/>
  <c r="G22" i="4" s="1"/>
  <c r="G27" i="3"/>
  <c r="G24" i="4" s="1"/>
  <c r="F42" i="3"/>
  <c r="F37" i="4" s="1"/>
  <c r="F39" i="3"/>
  <c r="F35" i="4" s="1"/>
  <c r="G36" i="3"/>
  <c r="F41" i="3"/>
  <c r="F36" i="4" s="1"/>
  <c r="F38" i="3"/>
  <c r="F10" i="3" l="1"/>
  <c r="F6" i="4" s="1"/>
  <c r="F8" i="4" s="1"/>
  <c r="G39" i="3"/>
  <c r="G35" i="4" s="1"/>
  <c r="G42" i="3"/>
  <c r="G37" i="4" s="1"/>
  <c r="G41" i="3"/>
  <c r="G36" i="4" s="1"/>
  <c r="D11" i="9"/>
  <c r="G38" i="3"/>
  <c r="G25" i="3"/>
  <c r="G19" i="4" s="1"/>
  <c r="G21" i="4" s="1"/>
  <c r="G25" i="4" s="1"/>
  <c r="B19" i="7" s="1"/>
  <c r="C13" i="9"/>
  <c r="D20" i="6"/>
  <c r="D22" i="6" s="1"/>
  <c r="D23" i="6" s="1"/>
  <c r="F12" i="4"/>
  <c r="B11" i="9"/>
  <c r="G12" i="3"/>
  <c r="G11" i="4" s="1"/>
  <c r="G9" i="3"/>
  <c r="G9" i="4" s="1"/>
  <c r="G11" i="3"/>
  <c r="G10" i="4" s="1"/>
  <c r="G8" i="3"/>
  <c r="F40" i="3"/>
  <c r="F32" i="4" s="1"/>
  <c r="F34" i="4" s="1"/>
  <c r="F38" i="4" s="1"/>
  <c r="G18" i="7" l="1"/>
  <c r="D23" i="7"/>
  <c r="H21" i="7"/>
  <c r="B22" i="7"/>
  <c r="C22" i="7"/>
  <c r="H24" i="7"/>
  <c r="C19" i="7"/>
  <c r="E21" i="7"/>
  <c r="D24" i="7"/>
  <c r="E18" i="7"/>
  <c r="G23" i="7"/>
  <c r="D19" i="7"/>
  <c r="F21" i="7"/>
  <c r="H23" i="7"/>
  <c r="E19" i="7"/>
  <c r="G21" i="7"/>
  <c r="G19" i="7"/>
  <c r="E20" i="7"/>
  <c r="B24" i="7"/>
  <c r="H19" i="7"/>
  <c r="B21" i="7"/>
  <c r="F19" i="7"/>
  <c r="B20" i="7"/>
  <c r="H18" i="7"/>
  <c r="D20" i="7"/>
  <c r="C20" i="7"/>
  <c r="C21" i="7"/>
  <c r="F22" i="7"/>
  <c r="C24" i="7"/>
  <c r="E24" i="7"/>
  <c r="G20" i="7"/>
  <c r="B23" i="7"/>
  <c r="D22" i="7"/>
  <c r="F18" i="7"/>
  <c r="E22" i="7"/>
  <c r="H20" i="7"/>
  <c r="E23" i="7"/>
  <c r="C23" i="7"/>
  <c r="B18" i="7"/>
  <c r="G10" i="3"/>
  <c r="G6" i="4" s="1"/>
  <c r="G8" i="4" s="1"/>
  <c r="G12" i="4" s="1"/>
  <c r="C12" i="6" s="1"/>
  <c r="C14" i="6" s="1"/>
  <c r="C15" i="6" s="1"/>
  <c r="C16" i="6" s="1"/>
  <c r="B13" i="9"/>
  <c r="C20" i="6"/>
  <c r="C22" i="6" s="1"/>
  <c r="C23" i="6" s="1"/>
  <c r="C12" i="7"/>
  <c r="H9" i="7"/>
  <c r="F7" i="7"/>
  <c r="D12" i="6"/>
  <c r="D14" i="6" s="1"/>
  <c r="D15" i="6" s="1"/>
  <c r="D16" i="6" s="1"/>
  <c r="B12" i="7"/>
  <c r="G9" i="7"/>
  <c r="E7" i="7"/>
  <c r="H11" i="7"/>
  <c r="F9" i="7"/>
  <c r="D7" i="7"/>
  <c r="C9" i="7"/>
  <c r="H6" i="7"/>
  <c r="H10" i="7"/>
  <c r="F8" i="7"/>
  <c r="G11" i="7"/>
  <c r="E9" i="7"/>
  <c r="C7" i="7"/>
  <c r="F11" i="7"/>
  <c r="D9" i="7"/>
  <c r="B7" i="7"/>
  <c r="E11" i="7"/>
  <c r="D6" i="7"/>
  <c r="E8" i="7"/>
  <c r="D11" i="7"/>
  <c r="B9" i="7"/>
  <c r="G6" i="7"/>
  <c r="C11" i="7"/>
  <c r="H8" i="7"/>
  <c r="F6" i="7"/>
  <c r="B11" i="7"/>
  <c r="G8" i="7"/>
  <c r="E6" i="7"/>
  <c r="G10" i="7"/>
  <c r="C6" i="7"/>
  <c r="C8" i="7"/>
  <c r="B8" i="7"/>
  <c r="H7" i="7"/>
  <c r="D10" i="7"/>
  <c r="G7" i="7"/>
  <c r="B6" i="7"/>
  <c r="H12" i="7"/>
  <c r="F12" i="7"/>
  <c r="E10" i="7"/>
  <c r="G12" i="7"/>
  <c r="E12" i="7"/>
  <c r="F10" i="7"/>
  <c r="D12" i="7"/>
  <c r="C10" i="7"/>
  <c r="B10" i="7"/>
  <c r="D8" i="7"/>
  <c r="D9" i="6"/>
  <c r="D21" i="7"/>
  <c r="F24" i="7"/>
  <c r="D18" i="7"/>
  <c r="F23" i="7"/>
  <c r="D13" i="9"/>
  <c r="E20" i="6"/>
  <c r="E22" i="6" s="1"/>
  <c r="E23" i="6" s="1"/>
  <c r="G40" i="3"/>
  <c r="G32" i="4" s="1"/>
  <c r="G34" i="4" s="1"/>
  <c r="G38" i="4" s="1"/>
  <c r="E12" i="6" s="1"/>
  <c r="E14" i="6" s="1"/>
  <c r="E15" i="6" s="1"/>
  <c r="E16" i="6" s="1"/>
  <c r="F20" i="7"/>
  <c r="C18" i="7"/>
  <c r="G24" i="7"/>
  <c r="H22" i="7"/>
  <c r="G22" i="7"/>
  <c r="C9" i="6" l="1"/>
  <c r="C17" i="6"/>
  <c r="C24" i="6"/>
  <c r="B6" i="9"/>
  <c r="E9" i="6"/>
  <c r="D17" i="6"/>
  <c r="D24" i="6"/>
  <c r="C6" i="9"/>
  <c r="E17" i="6" l="1"/>
  <c r="E27" i="6" s="1"/>
  <c r="E24" i="6"/>
  <c r="D6" i="9"/>
  <c r="D27" i="6"/>
  <c r="C27" i="6"/>
  <c r="C29" i="6" l="1"/>
  <c r="C31" i="6" s="1"/>
  <c r="B15" i="9"/>
  <c r="D29" i="6"/>
  <c r="D31" i="6" s="1"/>
  <c r="C15" i="9"/>
  <c r="D15" i="9"/>
  <c r="E29" i="6"/>
  <c r="E31" i="6" s="1"/>
  <c r="D16" i="9" l="1"/>
  <c r="D5" i="9"/>
  <c r="E33" i="6"/>
  <c r="D17" i="9" s="1"/>
  <c r="C16" i="9"/>
  <c r="C5" i="9"/>
  <c r="D33" i="6"/>
  <c r="C17" i="9" s="1"/>
  <c r="B16" i="9"/>
  <c r="B5" i="9"/>
  <c r="C33" i="6"/>
  <c r="B17" i="9" s="1"/>
</calcChain>
</file>

<file path=xl/sharedStrings.xml><?xml version="1.0" encoding="utf-8"?>
<sst xmlns="http://schemas.openxmlformats.org/spreadsheetml/2006/main" count="302" uniqueCount="214">
  <si>
    <t>DCFdesk — Multi Commodity Exchange of India Ltd (MCX)</t>
  </si>
  <si>
    <t>Day 16 · 30 Days of AI Finance · Based on real public financials (Screener.in, FY26 TTM) · ₹ Crores</t>
  </si>
  <si>
    <t>WHAT THIS IS</t>
  </si>
  <si>
    <t>A three-scenario DCF on MCX (NSE: MCX), India's commodity derivatives exchange monopoly. Built from FY26 TTM financials (Screener.in, BSE/NSE filings). All figures in ₹ Crores.</t>
  </si>
  <si>
    <t>WHY MCX IS DIFFERENT FROM A TYPICAL DCF SUBJECT</t>
  </si>
  <si>
    <t>1.  NET CASH, NOT NET DEBT. MCX has ₹2,944 Cr of net cash (Investments ₹2,949 Cr − Borrowings ₹5 Cr). This ADDS to equity value (EV + Net Cash = Equity), not subtracts.</t>
  </si>
  <si>
    <t>2.  MONOPOLY EXCHANGE. 95.9% commodity derivatives market share. Revenue = transaction fees on ADTV. Cost base is largely fixed — hence 70%+ EBITDA margins at peak.</t>
  </si>
  <si>
    <t>3.  FY26 IS A REBOUND YEAR. FY24 was depressed (₹83 Cr net profit) due to platform migration. FY26 revenue ₹2,302 Cr (up 107% on FY25). Projections model future growth from this elevated base.</t>
  </si>
  <si>
    <t>DATA SOURCES</t>
  </si>
  <si>
    <t>Revenue, EBITDA, D&amp;A: Screener.in · FY26 TTM (Mar 2026)</t>
  </si>
  <si>
    <t>Capex: Cash Flow Statement (Fixed assets purchased FY26 = ₹72 Cr)</t>
  </si>
  <si>
    <t>Net Cash: Balance Sheet (Investments ₹2,949 Cr − Borrowings ₹5 Cr = ₹2,944 Cr net cash)</t>
  </si>
  <si>
    <t>Shares: Equity Capital ₹51 Cr ÷ Face Value ₹2 = 25.5 Cr shares</t>
  </si>
  <si>
    <t>Current Price: NSE closing price 16 Jun 2026 (₹2,885/share)</t>
  </si>
  <si>
    <t>HOW TO USE THIS MODEL</t>
  </si>
  <si>
    <t>1.  Go to Assumptions tab — change any BLUE cell on YELLOW background</t>
  </si>
  <si>
    <t>2.  Revenue growth, EBITDA margins, WACC inputs, terminal assumptions all editable per scenario</t>
  </si>
  <si>
    <t>3.  All other tabs recalculate automatically via linked formulas</t>
  </si>
  <si>
    <t>SHEET GUIDE</t>
  </si>
  <si>
    <t>Assumptions      All editable inputs (blue text, yellow fill)</t>
  </si>
  <si>
    <t>Income Stmt      Revenue → EBITDA → EBIT for all 3 scenarios, Y0–Y5</t>
  </si>
  <si>
    <t>FCFF Build       NOPAT + D&amp;A − Capex − ΔNWC = FCFF for all 3 scenarios</t>
  </si>
  <si>
    <t>WACC             CAPM cost of equity + post-tax cost of debt, blended WACC</t>
  </si>
  <si>
    <t>DCF Valuation    PV of FCFFs + both TV methods → EV + Net Cash → implied price</t>
  </si>
  <si>
    <t>Sensitivity      Two 7×7 grids: WACC × Terminal Growth and WACC × Exit EBITDA Multiple</t>
  </si>
  <si>
    <t>Reverse DCF      What revenue CAGR does ₹2,885/share require?</t>
  </si>
  <si>
    <t>Football Field   All implied prices across all scenarios and methods</t>
  </si>
  <si>
    <t>KEY MCX METRICS (FY26 TTM)</t>
  </si>
  <si>
    <t>Market Cap: ₹73,568 Cr · EV: ₹70,624 Cr · EV/EBITDA: 41.1x · P/E: 55.2x</t>
  </si>
  <si>
    <t>LTM Revenue: ₹2,302 Cr · EBITDA: ₹1,720 Cr · Margin: 74.7% · ROCE: 71.4% · ROE: 56.3%</t>
  </si>
  <si>
    <t>DISCLAIMER</t>
  </si>
  <si>
    <t>Based on publicly available financials from Screener.in and BSE/NSE filings. Projections are illustrative — assumptions are the author's and not a formal recommendation. Not investment advice. MCX is a real listed company; verify all figures before use.</t>
  </si>
  <si>
    <t>DCFdesk — Model Assumptions</t>
  </si>
  <si>
    <t>Multi Commodity Exchange of India Ltd (MCX) · NSE: MCX · ₹ Crores · FY26 TTM base</t>
  </si>
  <si>
    <t>Bear</t>
  </si>
  <si>
    <t>Base</t>
  </si>
  <si>
    <t>Bull</t>
  </si>
  <si>
    <t>Notes</t>
  </si>
  <si>
    <t>REVENUE ASSUMPTIONS</t>
  </si>
  <si>
    <t>Year 0 Revenue (₹ Cr) — FY26 TTM LTM</t>
  </si>
  <si>
    <t>Screener.in FY26 TTM · Revenue from operations</t>
  </si>
  <si>
    <t>Year 1 Revenue Growth</t>
  </si>
  <si>
    <t>Bear: normalisation; Bull: commodity volume boom</t>
  </si>
  <si>
    <t>Year 2 Revenue Growth</t>
  </si>
  <si>
    <t>Year 3 Revenue Growth</t>
  </si>
  <si>
    <t>Year 4 Revenue Growth</t>
  </si>
  <si>
    <t>Year 5 Revenue Growth</t>
  </si>
  <si>
    <t>5yr CAGR: Bear ~4%, Base ~9%, Bull ~14%</t>
  </si>
  <si>
    <t>EBITDA MARGIN ASSUMPTIONS</t>
  </si>
  <si>
    <t>Year 0 EBITDA Margin % — FY26 TTM</t>
  </si>
  <si>
    <t>Op Profit ₹1,642 + D&amp;A ₹78 = EBITDA ₹1,720 ÷ Revenue ₹2,302 = 74.7%</t>
  </si>
  <si>
    <t>Year 1 EBITDA Margin %</t>
  </si>
  <si>
    <t>Year 2 EBITDA Margin %</t>
  </si>
  <si>
    <t>Year 3 EBITDA Margin %</t>
  </si>
  <si>
    <t>Year 4 EBITDA Margin %</t>
  </si>
  <si>
    <t>Year 5 EBITDA Margin %</t>
  </si>
  <si>
    <t>Bear: competition/costs compress margins to 56%. Bull: moat holds at 70%</t>
  </si>
  <si>
    <t>CAPITAL EXPENDITURE &amp; D&amp;A</t>
  </si>
  <si>
    <t>D&amp;A (% of Revenue)</t>
  </si>
  <si>
    <t>D&amp;A ₹78 Cr ÷ Revenue ₹2,302 Cr = 3.4% FY26. Asset-light exchange.</t>
  </si>
  <si>
    <t>Capex (% of Revenue)</t>
  </si>
  <si>
    <t>Fixed assets purchased ₹72 Cr FY26 (Cash Flow Statement). Tech refresh cycle.</t>
  </si>
  <si>
    <t>Δ NWC (% of Revenue Change)</t>
  </si>
  <si>
    <t>Minimal true NWC for exchange. Margin money is settlement obligation, not traditional NWC.</t>
  </si>
  <si>
    <t>TAX, CAPITAL STRUCTURE &amp; MARKET DATA</t>
  </si>
  <si>
    <t>Effective Tax Rate</t>
  </si>
  <si>
    <t>FY26 effective rate 21% (P&amp;L). Same across scenarios.</t>
  </si>
  <si>
    <t>Net Cash (₹ Cr) — ADD to EV to get Equity Value</t>
  </si>
  <si>
    <t>Investments ₹2,949 Cr − Borrowings ₹5 Cr = ₹2,944 Cr NET CASH. MCX has NO net debt.</t>
  </si>
  <si>
    <t>Shares Outstanding (Cr)</t>
  </si>
  <si>
    <t>Equity Capital ₹51 Cr ÷ Face Value ₹2 = 25.5 Cr shares</t>
  </si>
  <si>
    <t>Current Share Price (₹/share)</t>
  </si>
  <si>
    <t>NSE closing price 16 Jun 2026</t>
  </si>
  <si>
    <t>WACC INPUTS (CAPM)</t>
  </si>
  <si>
    <t>Risk-Free Rate (India 10Y G-Sec)</t>
  </si>
  <si>
    <t>Illustrative 10Y G-Sec rate ~6.85%</t>
  </si>
  <si>
    <t>Market Risk Premium (India Equity)</t>
  </si>
  <si>
    <t>Bear: 6.5% (higher risk demanded). Bull: 5.5% (moat reassurance)</t>
  </si>
  <si>
    <t>Levered Beta</t>
  </si>
  <si>
    <t>Bear 1.20 (regulatory/volume risk). Base 1.05. Bull 0.90 (monopoly stability)</t>
  </si>
  <si>
    <t>Cost of Debt (Pre-Tax)</t>
  </si>
  <si>
    <t>MCX has minimal debt. Illustrative only.</t>
  </si>
  <si>
    <t>Debt / (Debt+Equity) at Market</t>
  </si>
  <si>
    <t>MCX is essentially un-levered. 1% debt weight illustrative.</t>
  </si>
  <si>
    <t>TERMINAL VALUE ASSUMPTIONS</t>
  </si>
  <si>
    <t>Terminal Growth Rate (g)</t>
  </si>
  <si>
    <t>Bear 4% (GDP+inflation floor). Base 5%. Bull 5.5% (commodity volumes structurally growing).</t>
  </si>
  <si>
    <t>Exit EBITDA Multiple (alt. TV method)</t>
  </si>
  <si>
    <t>Exchange monopoly comps: BSE ~35x, global exchanges 25-45x EBITDA. Bear 30x. Base 35x. Bull 40x.</t>
  </si>
  <si>
    <t>SCENARIO DESCRIPTIONS</t>
  </si>
  <si>
    <t>Bear Case:</t>
  </si>
  <si>
    <t>Volume normalisation, margin compression, higher risk premium</t>
  </si>
  <si>
    <t>Base Case:</t>
  </si>
  <si>
    <t>Steady ADTV growth, margins normalise to 65%, new options products</t>
  </si>
  <si>
    <t>Bull Case:</t>
  </si>
  <si>
    <t>Commodity super-cycle, new index futures, retail trading boom</t>
  </si>
  <si>
    <t>Income Statement — 3 Scenarios</t>
  </si>
  <si>
    <t>₹ Crores · Year 0 = FY26 LTM base · EBIT = EBITDA − D&amp;A (MCX has zero interest expense)</t>
  </si>
  <si>
    <t>── Bear Case ──  |  Volume normalisation, margin compression, higher risk premium</t>
  </si>
  <si>
    <t>Y0 (LTM FY26)</t>
  </si>
  <si>
    <t>Y1</t>
  </si>
  <si>
    <t>Y2</t>
  </si>
  <si>
    <t>Y3</t>
  </si>
  <si>
    <t>Y4</t>
  </si>
  <si>
    <t>Y5</t>
  </si>
  <si>
    <t>Revenue</t>
  </si>
  <si>
    <t>EBITDA Margin %</t>
  </si>
  <si>
    <t>EBITDA</t>
  </si>
  <si>
    <t>D&amp;A</t>
  </si>
  <si>
    <t>EBIT (= EBITDA − D&amp;A; interest = 0 for MCX)</t>
  </si>
  <si>
    <t>Capex</t>
  </si>
  <si>
    <t>Δ NWC (NWC % × Revenue Change)</t>
  </si>
  <si>
    <t>0</t>
  </si>
  <si>
    <t>── Base Case ──  |  Steady ADTV growth, margins normalise to 65%, new options products</t>
  </si>
  <si>
    <t>── Bull Case ──  |  Commodity super-cycle, new index futures, retail trading boom</t>
  </si>
  <si>
    <t>Free Cash Flow to Firm (FCFF) — 3 Scenarios</t>
  </si>
  <si>
    <t>₹ Crores · FCFF = EBIT×(1-Tax) + D&amp;A − Capex − ΔNWC</t>
  </si>
  <si>
    <t>── Bear Case ──</t>
  </si>
  <si>
    <t>Y0 (LTM)</t>
  </si>
  <si>
    <t>EBIT (from Income Stmt)</t>
  </si>
  <si>
    <t>Tax Rate</t>
  </si>
  <si>
    <t>NOPAT = EBIT × (1 − Tax)</t>
  </si>
  <si>
    <t>Add: D&amp;A</t>
  </si>
  <si>
    <t>Less: Capex</t>
  </si>
  <si>
    <t>Less: Δ NWC</t>
  </si>
  <si>
    <t>FCFF</t>
  </si>
  <si>
    <t>── Base Case ──</t>
  </si>
  <si>
    <t>── Bull Case ──</t>
  </si>
  <si>
    <t>WACC — 3 Scenarios</t>
  </si>
  <si>
    <t>CAPM-based Cost of Equity + Blended Cost of Debt (MCX is near un-levered)</t>
  </si>
  <si>
    <t>COST OF EQUITY (CAPM)</t>
  </si>
  <si>
    <t>Risk-Free Rate</t>
  </si>
  <si>
    <t>Market Risk Premium</t>
  </si>
  <si>
    <t>Cost of Equity = Rf+β×MRP</t>
  </si>
  <si>
    <t>COST OF DEBT</t>
  </si>
  <si>
    <t>Cost of Debt (Post-Tax)</t>
  </si>
  <si>
    <t>CAPITAL WEIGHTS</t>
  </si>
  <si>
    <t>Debt / (Debt+Equity)</t>
  </si>
  <si>
    <t>Equity / (Debt+Equity)</t>
  </si>
  <si>
    <t>WACC</t>
  </si>
  <si>
    <t>WACC = We×CoE + Wd×CoD</t>
  </si>
  <si>
    <t>DCF Valuation — 3 Scenarios</t>
  </si>
  <si>
    <t>₹ Crores · FCFFs from FCFF Build · WACC from WACC sheet · MCX has net cash → ADD to EV</t>
  </si>
  <si>
    <t>DISCOUNT RATE</t>
  </si>
  <si>
    <t>PV OF FREE CASH FLOWS (Y1–Y5)</t>
  </si>
  <si>
    <t>PV of FCFF (Years 1–5)</t>
  </si>
  <si>
    <t>Excel NPV() discounts Y1-Y5 FCFFs at WACC</t>
  </si>
  <si>
    <t>TERMINAL VALUE — METHOD 1: PERPETUITY GROWTH (GORDON GROWTH)</t>
  </si>
  <si>
    <t>Year 5 FCFF</t>
  </si>
  <si>
    <t>Year 5 FCFF from FCFF Build tab</t>
  </si>
  <si>
    <t>From Assumptions tab</t>
  </si>
  <si>
    <t>Terminal FCFF = Y5_FCFF × (1+g)</t>
  </si>
  <si>
    <t>Terminal Value = Terminal FCFF / (WACC − g)</t>
  </si>
  <si>
    <t>Gordon Growth Model</t>
  </si>
  <si>
    <t>PV of Terminal Value</t>
  </si>
  <si>
    <t>Discounted at WACC^5</t>
  </si>
  <si>
    <t>Implied EV (Perpetuity Method)</t>
  </si>
  <si>
    <t>PV FCFFs + PV Terminal Value</t>
  </si>
  <si>
    <t>TERMINAL VALUE — METHOD 2: EXIT EBITDA MULTIPLE</t>
  </si>
  <si>
    <t>Year 5 EBITDA</t>
  </si>
  <si>
    <t>Exit EBITDA Multiple</t>
  </si>
  <si>
    <t>Terminal Value</t>
  </si>
  <si>
    <t>Implied EV (Exit Multiple Method)</t>
  </si>
  <si>
    <t>IMPLIED SHARE PRICE — BRIDGE: EV + NET CASH = EQUITY  |  MCX has net cash — adds to equity value</t>
  </si>
  <si>
    <t>Average Implied EV (2 methods)</t>
  </si>
  <si>
    <t>Add: Net Cash (positive = MCX has cash, no debt)</t>
  </si>
  <si>
    <t>Implied Equity Value (= EV + Net Cash)</t>
  </si>
  <si>
    <t>Implied Share Price (₹)</t>
  </si>
  <si>
    <t>Current Share Price (₹)</t>
  </si>
  <si>
    <t>Upside / (Downside) to ₹2,885</t>
  </si>
  <si>
    <t>Sensitivity Analysis — Base Case FCFFs</t>
  </si>
  <si>
    <t>Implied Share Price (₹) · WACC (rows) × variable (cols) · vs Current ₹2,885</t>
  </si>
  <si>
    <t>GRID 1 — WACC × TERMINAL GROWTH RATE → IMPLIED SHARE PRICE (Perpetuity Method)</t>
  </si>
  <si>
    <t>WACC ↓ / g →</t>
  </si>
  <si>
    <t>Base case WACC (~13.1%) and base g (5.0%) in approximate range rows 7-8, col 7</t>
  </si>
  <si>
    <t>GRID 2 — WACC × EXIT EBITDA MULTIPLE → IMPLIED SHARE PRICE (Exit Multiple Method)</t>
  </si>
  <si>
    <t>WACC ↓ / EV/EBITDA →</t>
  </si>
  <si>
    <t>Both grids use Base Case FCFF projections only. Net cash ₹2,944 Cr added to EV in bridge.</t>
  </si>
  <si>
    <t>Reverse DCF — What Does ₹2,885 Imply?</t>
  </si>
  <si>
    <t>Given today's share price, what revenue CAGR is the market pricing in? (Base margins &amp; WACC assumed)</t>
  </si>
  <si>
    <t>CURRENT MARKET PRICE (MCX, 16 Jun 2026)</t>
  </si>
  <si>
    <t>Implied Market Cap (₹ Cr)</t>
  </si>
  <si>
    <t>Less: Net Cash (MCX is net cash)</t>
  </si>
  <si>
    <t>Implied Enterprise Value (₹ Cr)</t>
  </si>
  <si>
    <t>WHAT REVENUE CAGR DOES THE MARKET REQUIRE?</t>
  </si>
  <si>
    <t>We test revenue CAGRs and compute implied EV (Base margins, Base WACC, Base terminal assumptions).</t>
  </si>
  <si>
    <t>Test Revenue CAGR (Y1-Y5)</t>
  </si>
  <si>
    <t>Implied EV (₹ Cr)</t>
  </si>
  <si>
    <t>vs Market EV (₹ Cr)</t>
  </si>
  <si>
    <t>Negative 'vs Market EV' means this growth rate implies LOWER enterprise value than current market EV of ₹70,624 Cr.</t>
  </si>
  <si>
    <t>MCX traded at ₹2,885/share on 16 Jun 2026. Market EV = Market Cap ₹73,568 Cr − Net Cash ₹2,944 Cr = ₹70,624 Cr.</t>
  </si>
  <si>
    <t>INSIGHT: MCX grew revenue 107% in FY26 (rebound from platform migration). Sustaining even 20%+ CAGR from this elevated base requires commodity volumes to keep compounding.</t>
  </si>
  <si>
    <t>This analysis uses Base margins and Base terminal assumptions throughout. The market is pricing either higher sustained growth or a much higher terminal multiple than modelled here.</t>
  </si>
  <si>
    <t>Football Field — Implied Price Range Summary</t>
  </si>
  <si>
    <t>Multi Commodity Exchange of India Ltd (MCX) · All valuations in ₹/share · vs ₹2,885 current</t>
  </si>
  <si>
    <t>Methodology</t>
  </si>
  <si>
    <t>Current</t>
  </si>
  <si>
    <t>Assessment</t>
  </si>
  <si>
    <t>DCF — Perpetuity Growth Method</t>
  </si>
  <si>
    <t>PV of FCFFs + Gordon Growth TV + Net Cash</t>
  </si>
  <si>
    <t>DCF — Exit EBITDA Multiple Method</t>
  </si>
  <si>
    <t>PV of FCFFs + EBITDA Multiple TV + Net Cash</t>
  </si>
  <si>
    <t>NOTE: DCF Valuation tab averages both methods. Football Field shows each method separately for comparison.</t>
  </si>
  <si>
    <t>SCENARIO SUMMARY TABLE</t>
  </si>
  <si>
    <t>Metric</t>
  </si>
  <si>
    <t>Current Market</t>
  </si>
  <si>
    <t>Y5 Revenue (₹ Cr)</t>
  </si>
  <si>
    <t>—</t>
  </si>
  <si>
    <t>Y5 EBITDA Margin %</t>
  </si>
  <si>
    <t>Y5 EBITDA (₹ Cr)</t>
  </si>
  <si>
    <t>Avg Implied EV (₹ Cr)</t>
  </si>
  <si>
    <t>Upside / (Downside)</t>
  </si>
  <si>
    <t>Current Share Price: ₹2,885 (NSE, 16 Jun 2026) · Market Cap: ₹73,568 Cr · EV: ₹70,624 Cr · EV/EBITDA: 41.1x · P/E: 55.2x · Every scenario sits below the current price. The market prices MCX as a monopoly exchange compounder with long-duration volume growth.</t>
  </si>
  <si>
    <t>Not investment advice. Based on publicly available financials. Projections are illustrative.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</si>
</sst>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19" x14ac:knownFonts="1">
    <font>
      <sz val="11"/>
      <color theme="1"/>
      <name val="Calibri"/>
      <family val="2"/>
      <charset val="1"/>
    </font>
    <font>
      <b/>
      <sz val="13"/>
      <color rgb="FF1A1A2E"/>
      <name val="Calibri"/>
      <charset val="1"/>
    </font>
    <font>
      <sz val="9"/>
      <color rgb="FF666666"/>
      <name val="Calibri"/>
      <charset val="1"/>
    </font>
    <font>
      <b/>
      <sz val="10"/>
      <color rgb="FF1A1A2E"/>
      <name val="Calibri"/>
      <charset val="1"/>
    </font>
    <font>
      <sz val="9.5"/>
      <color rgb="FF000000"/>
      <name val="Calibri"/>
      <charset val="1"/>
    </font>
    <font>
      <sz val="9.5"/>
      <color rgb="FF666666"/>
      <name val="Calibri"/>
      <charset val="1"/>
    </font>
    <font>
      <b/>
      <sz val="10"/>
      <color rgb="FFE05C6C"/>
      <name val="Calibri"/>
      <charset val="1"/>
    </font>
    <font>
      <sz val="10"/>
      <color rgb="FF000000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sz val="10"/>
      <color rgb="FF0000FF"/>
      <name val="Calibri"/>
      <charset val="1"/>
    </font>
    <font>
      <sz val="10"/>
      <color rgb="FF666666"/>
      <name val="Calibri"/>
      <charset val="1"/>
    </font>
    <font>
      <b/>
      <sz val="10"/>
      <color rgb="FF008000"/>
      <name val="Calibri"/>
      <charset val="1"/>
    </font>
    <font>
      <b/>
      <sz val="9"/>
      <color rgb="FFE05C6C"/>
      <name val="Calibri"/>
      <charset val="1"/>
    </font>
    <font>
      <b/>
      <sz val="10"/>
      <color rgb="FF666666"/>
      <name val="Calibri"/>
      <charset val="1"/>
    </font>
    <font>
      <b/>
      <sz val="10"/>
      <color rgb="FF000000"/>
      <name val="Calibri"/>
      <charset val="1"/>
    </font>
    <font>
      <b/>
      <sz val="9"/>
      <color rgb="FF1A1A2E"/>
      <name val="Calibri"/>
      <charset val="1"/>
    </font>
    <font>
      <b/>
      <sz val="9"/>
      <color rgb="FF008000"/>
      <name val="Calibri"/>
      <charset val="1"/>
    </font>
    <font>
      <sz val="10"/>
      <color rgb="FF008000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5FFF5"/>
      </patternFill>
    </fill>
    <fill>
      <patternFill patternType="solid">
        <fgColor rgb="FFF0F0F5"/>
        <bgColor rgb="FFF0F0FF"/>
      </patternFill>
    </fill>
    <fill>
      <patternFill patternType="solid">
        <fgColor rgb="FF3A5A7A"/>
        <bgColor rgb="FF666666"/>
      </patternFill>
    </fill>
    <fill>
      <patternFill patternType="solid">
        <fgColor rgb="FFFFFFCC"/>
        <bgColor rgb="FFFFF0E0"/>
      </patternFill>
    </fill>
    <fill>
      <patternFill patternType="solid">
        <fgColor rgb="FFFFE0E0"/>
        <bgColor rgb="FFFFE8E0"/>
      </patternFill>
    </fill>
    <fill>
      <patternFill patternType="solid">
        <fgColor rgb="FFFFF0E0"/>
        <bgColor rgb="FFFFE8E0"/>
      </patternFill>
    </fill>
    <fill>
      <patternFill patternType="solid">
        <fgColor rgb="FFE8F0E0"/>
        <bgColor rgb="FFF0F0F5"/>
      </patternFill>
    </fill>
    <fill>
      <patternFill patternType="solid">
        <fgColor rgb="FFFFE8E0"/>
        <bgColor rgb="FFFFF0E0"/>
      </patternFill>
    </fill>
    <fill>
      <patternFill patternType="solid">
        <fgColor rgb="FFF0F0FF"/>
        <bgColor rgb="FFF0F0F5"/>
      </patternFill>
    </fill>
    <fill>
      <patternFill patternType="solid">
        <fgColor rgb="FFE8FFE8"/>
        <bgColor rgb="FFF5FFF5"/>
      </patternFill>
    </fill>
    <fill>
      <patternFill patternType="solid">
        <fgColor rgb="FFF5FFF5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0" fillId="3" borderId="0" xfId="0" applyFill="1"/>
    <xf numFmtId="164" fontId="10" fillId="5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 wrapText="1"/>
    </xf>
    <xf numFmtId="165" fontId="10" fillId="5" borderId="0" xfId="0" applyNumberFormat="1" applyFont="1" applyFill="1" applyAlignment="1">
      <alignment horizontal="right" vertical="center"/>
    </xf>
    <xf numFmtId="3" fontId="10" fillId="5" borderId="0" xfId="0" applyNumberFormat="1" applyFont="1" applyFill="1" applyAlignment="1">
      <alignment horizontal="right" vertical="center"/>
    </xf>
    <xf numFmtId="2" fontId="10" fillId="5" borderId="0" xfId="0" applyNumberFormat="1" applyFont="1" applyFill="1" applyAlignment="1">
      <alignment horizontal="right" vertical="center"/>
    </xf>
    <xf numFmtId="166" fontId="10" fillId="5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164" fontId="7" fillId="3" borderId="0" xfId="0" applyNumberFormat="1" applyFont="1" applyFill="1" applyAlignment="1">
      <alignment horizontal="right" vertical="center"/>
    </xf>
    <xf numFmtId="165" fontId="7" fillId="3" borderId="0" xfId="0" applyNumberFormat="1" applyFont="1" applyFill="1" applyAlignment="1">
      <alignment horizontal="right" vertical="center"/>
    </xf>
    <xf numFmtId="0" fontId="15" fillId="3" borderId="0" xfId="0" applyFont="1" applyFill="1" applyAlignment="1">
      <alignment horizontal="left" vertical="center"/>
    </xf>
    <xf numFmtId="164" fontId="15" fillId="3" borderId="0" xfId="0" applyNumberFormat="1" applyFont="1" applyFill="1" applyAlignment="1">
      <alignment horizontal="right" vertical="center"/>
    </xf>
    <xf numFmtId="164" fontId="18" fillId="3" borderId="0" xfId="0" applyNumberFormat="1" applyFont="1" applyFill="1" applyAlignment="1">
      <alignment horizontal="right" vertical="center"/>
    </xf>
    <xf numFmtId="165" fontId="18" fillId="3" borderId="0" xfId="0" applyNumberFormat="1" applyFont="1" applyFill="1" applyAlignment="1">
      <alignment horizontal="right" vertical="center"/>
    </xf>
    <xf numFmtId="164" fontId="15" fillId="9" borderId="0" xfId="0" applyNumberFormat="1" applyFont="1" applyFill="1" applyAlignment="1">
      <alignment horizontal="right" vertical="center"/>
    </xf>
    <xf numFmtId="164" fontId="15" fillId="10" borderId="0" xfId="0" applyNumberFormat="1" applyFont="1" applyFill="1" applyAlignment="1">
      <alignment horizontal="right" vertical="center"/>
    </xf>
    <xf numFmtId="164" fontId="15" fillId="11" borderId="0" xfId="0" applyNumberFormat="1" applyFont="1" applyFill="1" applyAlignment="1">
      <alignment horizontal="right" vertical="center"/>
    </xf>
    <xf numFmtId="2" fontId="7" fillId="3" borderId="0" xfId="0" applyNumberFormat="1" applyFont="1" applyFill="1" applyAlignment="1">
      <alignment horizontal="right" vertical="center"/>
    </xf>
    <xf numFmtId="165" fontId="15" fillId="3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horizontal="left" vertical="center"/>
    </xf>
    <xf numFmtId="165" fontId="12" fillId="3" borderId="0" xfId="0" applyNumberFormat="1" applyFont="1" applyFill="1" applyAlignment="1">
      <alignment horizontal="right" vertical="center"/>
    </xf>
    <xf numFmtId="164" fontId="12" fillId="3" borderId="0" xfId="0" applyNumberFormat="1" applyFont="1" applyFill="1" applyAlignment="1">
      <alignment horizontal="right" vertical="center"/>
    </xf>
    <xf numFmtId="166" fontId="7" fillId="3" borderId="0" xfId="0" applyNumberFormat="1" applyFont="1" applyFill="1" applyAlignment="1">
      <alignment horizontal="right" vertical="center"/>
    </xf>
    <xf numFmtId="3" fontId="15" fillId="3" borderId="0" xfId="0" applyNumberFormat="1" applyFont="1" applyFill="1" applyAlignment="1">
      <alignment horizontal="right" vertical="center"/>
    </xf>
    <xf numFmtId="3" fontId="18" fillId="3" borderId="0" xfId="0" applyNumberFormat="1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right" vertical="center"/>
    </xf>
    <xf numFmtId="3" fontId="7" fillId="12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3" fontId="12" fillId="3" borderId="0" xfId="0" applyNumberFormat="1" applyFont="1" applyFill="1" applyAlignment="1">
      <alignment horizontal="right" vertical="center"/>
    </xf>
    <xf numFmtId="0" fontId="14" fillId="3" borderId="0" xfId="0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left" vertical="center"/>
    </xf>
    <xf numFmtId="3" fontId="7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E8E0"/>
      <rgbColor rgb="FF808080"/>
      <rgbColor rgb="FF9999FF"/>
      <rgbColor rgb="FF993366"/>
      <rgbColor rgb="FFFFFFCC"/>
      <rgbColor rgb="FFE8FFE8"/>
      <rgbColor rgb="FF660066"/>
      <rgbColor rgb="FFE05C6C"/>
      <rgbColor rgb="FF0066CC"/>
      <rgbColor rgb="FFF0F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FF5"/>
      <rgbColor rgb="FFE8F0E0"/>
      <rgbColor rgb="FFFFF0E0"/>
      <rgbColor rgb="FFF0F0F5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A5A7A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showGridLines="0" topLeftCell="A16" zoomScaleNormal="100" workbookViewId="0">
      <selection sqref="A1:B1"/>
    </sheetView>
  </sheetViews>
  <sheetFormatPr defaultColWidth="8.6640625" defaultRowHeight="14.4" x14ac:dyDescent="0.3"/>
  <cols>
    <col min="1" max="1" width="5" customWidth="1"/>
    <col min="2" max="2" width="95" customWidth="1"/>
  </cols>
  <sheetData>
    <row r="1" spans="1:2" ht="18" customHeight="1" x14ac:dyDescent="0.3">
      <c r="A1" s="46" t="s">
        <v>0</v>
      </c>
      <c r="B1" s="46"/>
    </row>
    <row r="2" spans="1:2" ht="18" customHeight="1" x14ac:dyDescent="0.3">
      <c r="A2" s="47" t="s">
        <v>1</v>
      </c>
      <c r="B2" s="47"/>
    </row>
    <row r="3" spans="1:2" ht="18" customHeight="1" x14ac:dyDescent="0.3">
      <c r="A3" s="1"/>
      <c r="B3" s="1"/>
    </row>
    <row r="4" spans="1:2" ht="21.75" customHeight="1" x14ac:dyDescent="0.3">
      <c r="A4" s="1"/>
      <c r="B4" s="2" t="s">
        <v>2</v>
      </c>
    </row>
    <row r="5" spans="1:2" ht="30" customHeight="1" x14ac:dyDescent="0.3">
      <c r="A5" s="1"/>
      <c r="B5" s="3" t="s">
        <v>3</v>
      </c>
    </row>
    <row r="6" spans="1:2" ht="18" customHeight="1" x14ac:dyDescent="0.3">
      <c r="A6" s="1"/>
      <c r="B6" s="1"/>
    </row>
    <row r="7" spans="1:2" ht="21.75" customHeight="1" x14ac:dyDescent="0.3">
      <c r="A7" s="1"/>
      <c r="B7" s="2" t="s">
        <v>4</v>
      </c>
    </row>
    <row r="8" spans="1:2" ht="30" customHeight="1" x14ac:dyDescent="0.3">
      <c r="A8" s="1"/>
      <c r="B8" s="3" t="s">
        <v>5</v>
      </c>
    </row>
    <row r="9" spans="1:2" ht="30" customHeight="1" x14ac:dyDescent="0.3">
      <c r="A9" s="1"/>
      <c r="B9" s="3" t="s">
        <v>6</v>
      </c>
    </row>
    <row r="10" spans="1:2" ht="30" customHeight="1" x14ac:dyDescent="0.3">
      <c r="A10" s="1"/>
      <c r="B10" s="3" t="s">
        <v>7</v>
      </c>
    </row>
    <row r="11" spans="1:2" ht="18" customHeight="1" x14ac:dyDescent="0.3">
      <c r="A11" s="1"/>
      <c r="B11" s="1"/>
    </row>
    <row r="12" spans="1:2" ht="21.75" customHeight="1" x14ac:dyDescent="0.3">
      <c r="A12" s="1"/>
      <c r="B12" s="2" t="s">
        <v>8</v>
      </c>
    </row>
    <row r="13" spans="1:2" ht="30" customHeight="1" x14ac:dyDescent="0.3">
      <c r="A13" s="1"/>
      <c r="B13" s="4" t="s">
        <v>9</v>
      </c>
    </row>
    <row r="14" spans="1:2" ht="30" customHeight="1" x14ac:dyDescent="0.3">
      <c r="A14" s="1"/>
      <c r="B14" s="4" t="s">
        <v>10</v>
      </c>
    </row>
    <row r="15" spans="1:2" ht="30" customHeight="1" x14ac:dyDescent="0.3">
      <c r="A15" s="1"/>
      <c r="B15" s="4" t="s">
        <v>11</v>
      </c>
    </row>
    <row r="16" spans="1:2" ht="30" customHeight="1" x14ac:dyDescent="0.3">
      <c r="A16" s="1"/>
      <c r="B16" s="4" t="s">
        <v>12</v>
      </c>
    </row>
    <row r="17" spans="1:2" ht="30" customHeight="1" x14ac:dyDescent="0.3">
      <c r="A17" s="1"/>
      <c r="B17" s="4" t="s">
        <v>13</v>
      </c>
    </row>
    <row r="18" spans="1:2" ht="18" customHeight="1" x14ac:dyDescent="0.3">
      <c r="A18" s="1"/>
      <c r="B18" s="1"/>
    </row>
    <row r="19" spans="1:2" ht="21.75" customHeight="1" x14ac:dyDescent="0.3">
      <c r="A19" s="1"/>
      <c r="B19" s="2" t="s">
        <v>14</v>
      </c>
    </row>
    <row r="20" spans="1:2" ht="30" customHeight="1" x14ac:dyDescent="0.3">
      <c r="A20" s="1"/>
      <c r="B20" s="3" t="s">
        <v>15</v>
      </c>
    </row>
    <row r="21" spans="1:2" ht="30" customHeight="1" x14ac:dyDescent="0.3">
      <c r="A21" s="1"/>
      <c r="B21" s="3" t="s">
        <v>16</v>
      </c>
    </row>
    <row r="22" spans="1:2" ht="30" customHeight="1" x14ac:dyDescent="0.3">
      <c r="A22" s="1"/>
      <c r="B22" s="3" t="s">
        <v>17</v>
      </c>
    </row>
    <row r="23" spans="1:2" ht="18" customHeight="1" x14ac:dyDescent="0.3">
      <c r="A23" s="1"/>
      <c r="B23" s="1"/>
    </row>
    <row r="24" spans="1:2" ht="21.75" customHeight="1" x14ac:dyDescent="0.3">
      <c r="A24" s="1"/>
      <c r="B24" s="2" t="s">
        <v>18</v>
      </c>
    </row>
    <row r="25" spans="1:2" ht="30" customHeight="1" x14ac:dyDescent="0.3">
      <c r="A25" s="1"/>
      <c r="B25" s="4" t="s">
        <v>19</v>
      </c>
    </row>
    <row r="26" spans="1:2" ht="30" customHeight="1" x14ac:dyDescent="0.3">
      <c r="A26" s="1"/>
      <c r="B26" s="4" t="s">
        <v>20</v>
      </c>
    </row>
    <row r="27" spans="1:2" ht="30" customHeight="1" x14ac:dyDescent="0.3">
      <c r="A27" s="1"/>
      <c r="B27" s="4" t="s">
        <v>21</v>
      </c>
    </row>
    <row r="28" spans="1:2" ht="30" customHeight="1" x14ac:dyDescent="0.3">
      <c r="A28" s="1"/>
      <c r="B28" s="4" t="s">
        <v>22</v>
      </c>
    </row>
    <row r="29" spans="1:2" ht="30" customHeight="1" x14ac:dyDescent="0.3">
      <c r="A29" s="1"/>
      <c r="B29" s="4" t="s">
        <v>23</v>
      </c>
    </row>
    <row r="30" spans="1:2" ht="30" customHeight="1" x14ac:dyDescent="0.3">
      <c r="A30" s="1"/>
      <c r="B30" s="4" t="s">
        <v>24</v>
      </c>
    </row>
    <row r="31" spans="1:2" ht="30" customHeight="1" x14ac:dyDescent="0.3">
      <c r="A31" s="1"/>
      <c r="B31" s="4" t="s">
        <v>25</v>
      </c>
    </row>
    <row r="32" spans="1:2" ht="30" customHeight="1" x14ac:dyDescent="0.3">
      <c r="A32" s="1"/>
      <c r="B32" s="4" t="s">
        <v>26</v>
      </c>
    </row>
    <row r="33" spans="1:2" ht="18" customHeight="1" x14ac:dyDescent="0.3">
      <c r="A33" s="1"/>
      <c r="B33" s="1"/>
    </row>
    <row r="34" spans="1:2" ht="21.75" customHeight="1" x14ac:dyDescent="0.3">
      <c r="A34" s="1"/>
      <c r="B34" s="2" t="s">
        <v>27</v>
      </c>
    </row>
    <row r="35" spans="1:2" ht="30" customHeight="1" x14ac:dyDescent="0.3">
      <c r="A35" s="1"/>
      <c r="B35" s="3" t="s">
        <v>28</v>
      </c>
    </row>
    <row r="36" spans="1:2" ht="30" customHeight="1" x14ac:dyDescent="0.3">
      <c r="A36" s="1"/>
      <c r="B36" s="3" t="s">
        <v>29</v>
      </c>
    </row>
    <row r="37" spans="1:2" ht="18" customHeight="1" x14ac:dyDescent="0.3">
      <c r="A37" s="1"/>
      <c r="B37" s="1"/>
    </row>
    <row r="38" spans="1:2" ht="21.75" customHeight="1" x14ac:dyDescent="0.3">
      <c r="A38" s="1"/>
      <c r="B38" s="5" t="s">
        <v>30</v>
      </c>
    </row>
    <row r="39" spans="1:2" ht="30" customHeight="1" x14ac:dyDescent="0.3">
      <c r="A39" s="1"/>
      <c r="B39" s="3" t="s">
        <v>31</v>
      </c>
    </row>
    <row r="40" spans="1:2" ht="18" customHeight="1" x14ac:dyDescent="0.3"/>
    <row r="41" spans="1:2" ht="18" customHeight="1" x14ac:dyDescent="0.3"/>
    <row r="42" spans="1:2" ht="18" customHeight="1" x14ac:dyDescent="0.3"/>
    <row r="43" spans="1:2" ht="18" customHeight="1" x14ac:dyDescent="0.3"/>
    <row r="44" spans="1:2" ht="18" customHeight="1" x14ac:dyDescent="0.3"/>
    <row r="45" spans="1:2" ht="18" customHeight="1" x14ac:dyDescent="0.3"/>
    <row r="46" spans="1:2" ht="18" customHeight="1" x14ac:dyDescent="0.3"/>
    <row r="47" spans="1:2" ht="18" customHeight="1" x14ac:dyDescent="0.3"/>
    <row r="48" spans="1:2" ht="18" customHeight="1" x14ac:dyDescent="0.3"/>
    <row r="49" ht="18" customHeight="1" x14ac:dyDescent="0.3"/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9" sqref="F9"/>
    </sheetView>
  </sheetViews>
  <sheetFormatPr defaultColWidth="8.6640625" defaultRowHeight="14.4" x14ac:dyDescent="0.3"/>
  <cols>
    <col min="1" max="1" width="42" customWidth="1"/>
    <col min="2" max="2" width="3" customWidth="1"/>
    <col min="3" max="5" width="14" customWidth="1"/>
    <col min="6" max="6" width="35" customWidth="1"/>
  </cols>
  <sheetData>
    <row r="1" spans="1:6" ht="15.75" customHeight="1" x14ac:dyDescent="0.3">
      <c r="A1" s="46" t="s">
        <v>32</v>
      </c>
      <c r="B1" s="46"/>
      <c r="C1" s="46"/>
      <c r="D1" s="46"/>
      <c r="E1" s="46"/>
      <c r="F1" s="46"/>
    </row>
    <row r="2" spans="1:6" ht="15" customHeight="1" x14ac:dyDescent="0.3">
      <c r="A2" s="47" t="s">
        <v>33</v>
      </c>
      <c r="B2" s="47"/>
      <c r="C2" s="47"/>
      <c r="D2" s="47"/>
      <c r="E2" s="47"/>
      <c r="F2" s="47"/>
    </row>
    <row r="3" spans="1:6" ht="15" customHeight="1" x14ac:dyDescent="0.3">
      <c r="A3" s="6"/>
      <c r="B3" s="6"/>
      <c r="C3" s="7" t="s">
        <v>34</v>
      </c>
      <c r="D3" s="7" t="s">
        <v>35</v>
      </c>
      <c r="E3" s="7" t="s">
        <v>36</v>
      </c>
      <c r="F3" s="7" t="s">
        <v>37</v>
      </c>
    </row>
    <row r="4" spans="1:6" ht="15" customHeight="1" x14ac:dyDescent="0.3">
      <c r="A4" s="1"/>
      <c r="B4" s="1"/>
      <c r="C4" s="1"/>
      <c r="D4" s="1"/>
      <c r="E4" s="1"/>
      <c r="F4" s="1"/>
    </row>
    <row r="5" spans="1:6" ht="15" customHeight="1" x14ac:dyDescent="0.3">
      <c r="A5" s="48" t="s">
        <v>38</v>
      </c>
      <c r="B5" s="48"/>
      <c r="C5" s="48"/>
      <c r="D5" s="48"/>
      <c r="E5" s="48"/>
      <c r="F5" s="48"/>
    </row>
    <row r="6" spans="1:6" ht="15" customHeight="1" x14ac:dyDescent="0.3">
      <c r="A6" s="6" t="s">
        <v>39</v>
      </c>
      <c r="B6" s="8"/>
      <c r="C6" s="9">
        <v>2302</v>
      </c>
      <c r="D6" s="9">
        <v>2302</v>
      </c>
      <c r="E6" s="9">
        <v>2302</v>
      </c>
      <c r="F6" s="10" t="s">
        <v>40</v>
      </c>
    </row>
    <row r="7" spans="1:6" ht="21.75" customHeight="1" x14ac:dyDescent="0.3">
      <c r="A7" s="6" t="s">
        <v>41</v>
      </c>
      <c r="B7" s="1"/>
      <c r="C7" s="11">
        <v>0.05</v>
      </c>
      <c r="D7" s="11">
        <v>0.12</v>
      </c>
      <c r="E7" s="11">
        <v>0.18</v>
      </c>
      <c r="F7" s="10" t="s">
        <v>42</v>
      </c>
    </row>
    <row r="8" spans="1:6" ht="15" customHeight="1" x14ac:dyDescent="0.3">
      <c r="A8" s="6" t="s">
        <v>43</v>
      </c>
      <c r="B8" s="1"/>
      <c r="C8" s="11">
        <v>0.05</v>
      </c>
      <c r="D8" s="11">
        <v>0.1</v>
      </c>
      <c r="E8" s="11">
        <v>0.16</v>
      </c>
      <c r="F8" s="1"/>
    </row>
    <row r="9" spans="1:6" ht="15" customHeight="1" x14ac:dyDescent="0.3">
      <c r="A9" s="6" t="s">
        <v>44</v>
      </c>
      <c r="B9" s="1"/>
      <c r="C9" s="11">
        <v>0.04</v>
      </c>
      <c r="D9" s="11">
        <v>0.09</v>
      </c>
      <c r="E9" s="11">
        <v>0.14000000000000001</v>
      </c>
      <c r="F9" s="1"/>
    </row>
    <row r="10" spans="1:6" ht="15" customHeight="1" x14ac:dyDescent="0.3">
      <c r="A10" s="6" t="s">
        <v>45</v>
      </c>
      <c r="B10" s="1"/>
      <c r="C10" s="11">
        <v>0.04</v>
      </c>
      <c r="D10" s="11">
        <v>0.08</v>
      </c>
      <c r="E10" s="11">
        <v>0.12</v>
      </c>
      <c r="F10" s="1"/>
    </row>
    <row r="11" spans="1:6" ht="15" customHeight="1" x14ac:dyDescent="0.3">
      <c r="A11" s="6" t="s">
        <v>46</v>
      </c>
      <c r="B11" s="1"/>
      <c r="C11" s="11">
        <v>0.03</v>
      </c>
      <c r="D11" s="11">
        <v>7.0000000000000007E-2</v>
      </c>
      <c r="E11" s="11">
        <v>0.1</v>
      </c>
      <c r="F11" s="10" t="s">
        <v>47</v>
      </c>
    </row>
    <row r="12" spans="1:6" ht="15" customHeight="1" x14ac:dyDescent="0.3">
      <c r="A12" s="1"/>
      <c r="B12" s="1"/>
      <c r="C12" s="1"/>
      <c r="D12" s="1"/>
      <c r="E12" s="1"/>
      <c r="F12" s="1"/>
    </row>
    <row r="13" spans="1:6" ht="15" customHeight="1" x14ac:dyDescent="0.3">
      <c r="A13" s="48" t="s">
        <v>48</v>
      </c>
      <c r="B13" s="48"/>
      <c r="C13" s="48"/>
      <c r="D13" s="48"/>
      <c r="E13" s="48"/>
      <c r="F13" s="48"/>
    </row>
    <row r="14" spans="1:6" ht="21.75" customHeight="1" x14ac:dyDescent="0.3">
      <c r="A14" s="6" t="s">
        <v>49</v>
      </c>
      <c r="B14" s="1"/>
      <c r="C14" s="11">
        <v>0.747</v>
      </c>
      <c r="D14" s="11">
        <v>0.747</v>
      </c>
      <c r="E14" s="11">
        <v>0.747</v>
      </c>
      <c r="F14" s="10" t="s">
        <v>50</v>
      </c>
    </row>
    <row r="15" spans="1:6" ht="15" customHeight="1" x14ac:dyDescent="0.3">
      <c r="A15" s="6" t="s">
        <v>51</v>
      </c>
      <c r="B15" s="1"/>
      <c r="C15" s="11">
        <v>0.65</v>
      </c>
      <c r="D15" s="11">
        <v>0.68</v>
      </c>
      <c r="E15" s="11">
        <v>0.72</v>
      </c>
      <c r="F15" s="1"/>
    </row>
    <row r="16" spans="1:6" ht="15" customHeight="1" x14ac:dyDescent="0.3">
      <c r="A16" s="6" t="s">
        <v>52</v>
      </c>
      <c r="B16" s="1"/>
      <c r="C16" s="11">
        <v>0.62</v>
      </c>
      <c r="D16" s="11">
        <v>0.67</v>
      </c>
      <c r="E16" s="11">
        <v>0.72</v>
      </c>
      <c r="F16" s="1"/>
    </row>
    <row r="17" spans="1:6" ht="15" customHeight="1" x14ac:dyDescent="0.3">
      <c r="A17" s="6" t="s">
        <v>53</v>
      </c>
      <c r="B17" s="1"/>
      <c r="C17" s="11">
        <v>0.6</v>
      </c>
      <c r="D17" s="11">
        <v>0.67</v>
      </c>
      <c r="E17" s="11">
        <v>0.71</v>
      </c>
      <c r="F17" s="1"/>
    </row>
    <row r="18" spans="1:6" ht="15" customHeight="1" x14ac:dyDescent="0.3">
      <c r="A18" s="6" t="s">
        <v>54</v>
      </c>
      <c r="B18" s="1"/>
      <c r="C18" s="11">
        <v>0.57999999999999996</v>
      </c>
      <c r="D18" s="11">
        <v>0.66</v>
      </c>
      <c r="E18" s="11">
        <v>0.7</v>
      </c>
      <c r="F18" s="1"/>
    </row>
    <row r="19" spans="1:6" ht="21.75" customHeight="1" x14ac:dyDescent="0.3">
      <c r="A19" s="6" t="s">
        <v>55</v>
      </c>
      <c r="B19" s="1"/>
      <c r="C19" s="11">
        <v>0.56000000000000005</v>
      </c>
      <c r="D19" s="11">
        <v>0.65</v>
      </c>
      <c r="E19" s="11">
        <v>0.7</v>
      </c>
      <c r="F19" s="10" t="s">
        <v>56</v>
      </c>
    </row>
    <row r="20" spans="1:6" ht="15" customHeight="1" x14ac:dyDescent="0.3">
      <c r="A20" s="1"/>
      <c r="B20" s="1"/>
      <c r="C20" s="1"/>
      <c r="D20" s="1"/>
      <c r="E20" s="1"/>
      <c r="F20" s="1"/>
    </row>
    <row r="21" spans="1:6" ht="15" customHeight="1" x14ac:dyDescent="0.3">
      <c r="A21" s="48" t="s">
        <v>57</v>
      </c>
      <c r="B21" s="48"/>
      <c r="C21" s="48"/>
      <c r="D21" s="48"/>
      <c r="E21" s="48"/>
      <c r="F21" s="48"/>
    </row>
    <row r="22" spans="1:6" ht="21.75" customHeight="1" x14ac:dyDescent="0.3">
      <c r="A22" s="6" t="s">
        <v>58</v>
      </c>
      <c r="B22" s="1"/>
      <c r="C22" s="11">
        <v>3.5000000000000003E-2</v>
      </c>
      <c r="D22" s="11">
        <v>3.5000000000000003E-2</v>
      </c>
      <c r="E22" s="11">
        <v>3.5000000000000003E-2</v>
      </c>
      <c r="F22" s="10" t="s">
        <v>59</v>
      </c>
    </row>
    <row r="23" spans="1:6" ht="21.75" customHeight="1" x14ac:dyDescent="0.3">
      <c r="A23" s="6" t="s">
        <v>60</v>
      </c>
      <c r="B23" s="1"/>
      <c r="C23" s="11">
        <v>3.5000000000000003E-2</v>
      </c>
      <c r="D23" s="11">
        <v>3.5000000000000003E-2</v>
      </c>
      <c r="E23" s="11">
        <v>0.03</v>
      </c>
      <c r="F23" s="10" t="s">
        <v>61</v>
      </c>
    </row>
    <row r="24" spans="1:6" ht="21.75" customHeight="1" x14ac:dyDescent="0.3">
      <c r="A24" s="6" t="s">
        <v>62</v>
      </c>
      <c r="B24" s="1"/>
      <c r="C24" s="11">
        <v>0.01</v>
      </c>
      <c r="D24" s="11">
        <v>0.01</v>
      </c>
      <c r="E24" s="11">
        <v>0.01</v>
      </c>
      <c r="F24" s="10" t="s">
        <v>63</v>
      </c>
    </row>
    <row r="25" spans="1:6" ht="15" customHeight="1" x14ac:dyDescent="0.3">
      <c r="A25" s="1"/>
      <c r="B25" s="1"/>
      <c r="C25" s="1"/>
      <c r="D25" s="1"/>
      <c r="E25" s="1"/>
      <c r="F25" s="1"/>
    </row>
    <row r="26" spans="1:6" ht="15" customHeight="1" x14ac:dyDescent="0.3">
      <c r="A26" s="48" t="s">
        <v>64</v>
      </c>
      <c r="B26" s="48"/>
      <c r="C26" s="48"/>
      <c r="D26" s="48"/>
      <c r="E26" s="48"/>
      <c r="F26" s="48"/>
    </row>
    <row r="27" spans="1:6" ht="21.75" customHeight="1" x14ac:dyDescent="0.3">
      <c r="A27" s="6" t="s">
        <v>65</v>
      </c>
      <c r="B27" s="1"/>
      <c r="C27" s="11">
        <v>0.21</v>
      </c>
      <c r="D27" s="11">
        <v>0.21</v>
      </c>
      <c r="E27" s="11">
        <v>0.21</v>
      </c>
      <c r="F27" s="10" t="s">
        <v>66</v>
      </c>
    </row>
    <row r="28" spans="1:6" ht="21.75" customHeight="1" x14ac:dyDescent="0.3">
      <c r="A28" s="6" t="s">
        <v>67</v>
      </c>
      <c r="B28" s="1"/>
      <c r="C28" s="9">
        <v>2944</v>
      </c>
      <c r="D28" s="9">
        <v>2944</v>
      </c>
      <c r="E28" s="9">
        <v>2944</v>
      </c>
      <c r="F28" s="10" t="s">
        <v>68</v>
      </c>
    </row>
    <row r="29" spans="1:6" ht="21.75" customHeight="1" x14ac:dyDescent="0.3">
      <c r="A29" s="6" t="s">
        <v>69</v>
      </c>
      <c r="B29" s="1"/>
      <c r="C29" s="9">
        <v>25.5</v>
      </c>
      <c r="D29" s="9">
        <v>25.5</v>
      </c>
      <c r="E29" s="9">
        <v>25.5</v>
      </c>
      <c r="F29" s="10" t="s">
        <v>70</v>
      </c>
    </row>
    <row r="30" spans="1:6" ht="15" customHeight="1" x14ac:dyDescent="0.3">
      <c r="A30" s="6" t="s">
        <v>71</v>
      </c>
      <c r="B30" s="1"/>
      <c r="C30" s="12">
        <v>2885</v>
      </c>
      <c r="D30" s="12">
        <v>2885</v>
      </c>
      <c r="E30" s="12">
        <v>2885</v>
      </c>
      <c r="F30" s="10" t="s">
        <v>72</v>
      </c>
    </row>
    <row r="31" spans="1:6" ht="15" customHeight="1" x14ac:dyDescent="0.3">
      <c r="A31" s="1"/>
      <c r="B31" s="1"/>
      <c r="C31" s="1"/>
      <c r="D31" s="1"/>
      <c r="E31" s="1"/>
      <c r="F31" s="1"/>
    </row>
    <row r="32" spans="1:6" ht="15" customHeight="1" x14ac:dyDescent="0.3">
      <c r="A32" s="48" t="s">
        <v>73</v>
      </c>
      <c r="B32" s="48"/>
      <c r="C32" s="48"/>
      <c r="D32" s="48"/>
      <c r="E32" s="48"/>
      <c r="F32" s="48"/>
    </row>
    <row r="33" spans="1:6" ht="15" customHeight="1" x14ac:dyDescent="0.3">
      <c r="A33" s="6" t="s">
        <v>74</v>
      </c>
      <c r="B33" s="1"/>
      <c r="C33" s="11">
        <v>6.8500000000000005E-2</v>
      </c>
      <c r="D33" s="11">
        <v>6.8500000000000005E-2</v>
      </c>
      <c r="E33" s="11">
        <v>6.8500000000000005E-2</v>
      </c>
      <c r="F33" s="10" t="s">
        <v>75</v>
      </c>
    </row>
    <row r="34" spans="1:6" ht="21.75" customHeight="1" x14ac:dyDescent="0.3">
      <c r="A34" s="6" t="s">
        <v>76</v>
      </c>
      <c r="B34" s="1"/>
      <c r="C34" s="11">
        <v>6.5000000000000002E-2</v>
      </c>
      <c r="D34" s="11">
        <v>0.06</v>
      </c>
      <c r="E34" s="11">
        <v>5.5E-2</v>
      </c>
      <c r="F34" s="10" t="s">
        <v>77</v>
      </c>
    </row>
    <row r="35" spans="1:6" ht="21.75" customHeight="1" x14ac:dyDescent="0.3">
      <c r="A35" s="6" t="s">
        <v>78</v>
      </c>
      <c r="B35" s="1"/>
      <c r="C35" s="13">
        <v>1.2</v>
      </c>
      <c r="D35" s="13">
        <v>1.05</v>
      </c>
      <c r="E35" s="13">
        <v>0.9</v>
      </c>
      <c r="F35" s="10" t="s">
        <v>79</v>
      </c>
    </row>
    <row r="36" spans="1:6" ht="15" customHeight="1" x14ac:dyDescent="0.3">
      <c r="A36" s="6" t="s">
        <v>80</v>
      </c>
      <c r="B36" s="1"/>
      <c r="C36" s="11">
        <v>9.5000000000000001E-2</v>
      </c>
      <c r="D36" s="11">
        <v>0.09</v>
      </c>
      <c r="E36" s="11">
        <v>8.5000000000000006E-2</v>
      </c>
      <c r="F36" s="10" t="s">
        <v>81</v>
      </c>
    </row>
    <row r="37" spans="1:6" ht="21.75" customHeight="1" x14ac:dyDescent="0.3">
      <c r="A37" s="6" t="s">
        <v>82</v>
      </c>
      <c r="B37" s="1"/>
      <c r="C37" s="11">
        <v>0.01</v>
      </c>
      <c r="D37" s="11">
        <v>0.01</v>
      </c>
      <c r="E37" s="11">
        <v>0.01</v>
      </c>
      <c r="F37" s="10" t="s">
        <v>83</v>
      </c>
    </row>
    <row r="38" spans="1:6" ht="15" customHeight="1" x14ac:dyDescent="0.3">
      <c r="A38" s="1"/>
      <c r="B38" s="1"/>
      <c r="C38" s="1"/>
      <c r="D38" s="1"/>
      <c r="E38" s="1"/>
      <c r="F38" s="1"/>
    </row>
    <row r="39" spans="1:6" ht="15" customHeight="1" x14ac:dyDescent="0.3">
      <c r="A39" s="48" t="s">
        <v>84</v>
      </c>
      <c r="B39" s="48"/>
      <c r="C39" s="48"/>
      <c r="D39" s="48"/>
      <c r="E39" s="48"/>
      <c r="F39" s="48"/>
    </row>
    <row r="40" spans="1:6" ht="21.75" customHeight="1" x14ac:dyDescent="0.3">
      <c r="A40" s="6" t="s">
        <v>85</v>
      </c>
      <c r="B40" s="1"/>
      <c r="C40" s="11">
        <v>0.04</v>
      </c>
      <c r="D40" s="11">
        <v>0.05</v>
      </c>
      <c r="E40" s="11">
        <v>5.5E-2</v>
      </c>
      <c r="F40" s="10" t="s">
        <v>86</v>
      </c>
    </row>
    <row r="41" spans="1:6" ht="32.25" customHeight="1" x14ac:dyDescent="0.3">
      <c r="A41" s="6" t="s">
        <v>87</v>
      </c>
      <c r="B41" s="1"/>
      <c r="C41" s="14">
        <v>30</v>
      </c>
      <c r="D41" s="14">
        <v>35</v>
      </c>
      <c r="E41" s="14">
        <v>40</v>
      </c>
      <c r="F41" s="10" t="s">
        <v>88</v>
      </c>
    </row>
    <row r="42" spans="1:6" ht="15" customHeight="1" x14ac:dyDescent="0.3">
      <c r="A42" s="1"/>
      <c r="B42" s="1"/>
      <c r="C42" s="1"/>
      <c r="D42" s="1"/>
      <c r="E42" s="1"/>
      <c r="F42" s="1"/>
    </row>
    <row r="43" spans="1:6" ht="15" customHeight="1" x14ac:dyDescent="0.3">
      <c r="A43" s="48" t="s">
        <v>89</v>
      </c>
      <c r="B43" s="48"/>
      <c r="C43" s="48"/>
      <c r="D43" s="48"/>
      <c r="E43" s="48"/>
      <c r="F43" s="48"/>
    </row>
    <row r="44" spans="1:6" ht="15" customHeight="1" x14ac:dyDescent="0.3">
      <c r="A44" s="15" t="s">
        <v>90</v>
      </c>
      <c r="B44" s="1"/>
      <c r="C44" s="49" t="s">
        <v>91</v>
      </c>
      <c r="D44" s="49"/>
      <c r="E44" s="49"/>
      <c r="F44" s="49"/>
    </row>
    <row r="45" spans="1:6" ht="15" customHeight="1" x14ac:dyDescent="0.3">
      <c r="A45" s="16" t="s">
        <v>92</v>
      </c>
      <c r="B45" s="1"/>
      <c r="C45" s="49" t="s">
        <v>93</v>
      </c>
      <c r="D45" s="49"/>
      <c r="E45" s="49"/>
      <c r="F45" s="49"/>
    </row>
    <row r="46" spans="1:6" ht="15" customHeight="1" x14ac:dyDescent="0.3">
      <c r="A46" s="17" t="s">
        <v>94</v>
      </c>
      <c r="B46" s="1"/>
      <c r="C46" s="49" t="s">
        <v>95</v>
      </c>
      <c r="D46" s="49"/>
      <c r="E46" s="49"/>
      <c r="F46" s="49"/>
    </row>
  </sheetData>
  <mergeCells count="12">
    <mergeCell ref="A1:F1"/>
    <mergeCell ref="A2:F2"/>
    <mergeCell ref="A5:F5"/>
    <mergeCell ref="A13:F13"/>
    <mergeCell ref="A21:F21"/>
    <mergeCell ref="C45:F45"/>
    <mergeCell ref="C46:F46"/>
    <mergeCell ref="A26:F26"/>
    <mergeCell ref="A32:F32"/>
    <mergeCell ref="A39:F39"/>
    <mergeCell ref="A43:F43"/>
    <mergeCell ref="C44:F4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showGridLines="0" zoomScaleNormal="100" workbookViewId="0">
      <pane xSplit="2" ySplit="3" topLeftCell="C22" activePane="bottomRight" state="frozen"/>
      <selection pane="topRight" activeCell="C1" sqref="C1"/>
      <selection pane="bottomLeft" activeCell="A4" sqref="A4"/>
      <selection pane="bottomRight" sqref="A1:G1"/>
    </sheetView>
  </sheetViews>
  <sheetFormatPr defaultColWidth="8.6640625" defaultRowHeight="14.4" x14ac:dyDescent="0.3"/>
  <cols>
    <col min="1" max="1" width="34" customWidth="1"/>
    <col min="2" max="7" width="12" customWidth="1"/>
  </cols>
  <sheetData>
    <row r="1" spans="1:7" ht="15.75" customHeight="1" x14ac:dyDescent="0.3">
      <c r="A1" s="46" t="s">
        <v>96</v>
      </c>
      <c r="B1" s="46"/>
      <c r="C1" s="46"/>
      <c r="D1" s="46"/>
      <c r="E1" s="46"/>
      <c r="F1" s="46"/>
      <c r="G1" s="46"/>
    </row>
    <row r="2" spans="1:7" ht="15" customHeight="1" x14ac:dyDescent="0.3">
      <c r="A2" s="47" t="s">
        <v>97</v>
      </c>
      <c r="B2" s="47"/>
      <c r="C2" s="47"/>
      <c r="D2" s="47"/>
      <c r="E2" s="47"/>
      <c r="F2" s="47"/>
      <c r="G2" s="47"/>
    </row>
    <row r="3" spans="1:7" ht="15" customHeight="1" x14ac:dyDescent="0.3">
      <c r="A3" s="1"/>
      <c r="B3" s="1"/>
      <c r="C3" s="1"/>
      <c r="D3" s="1"/>
      <c r="E3" s="1"/>
      <c r="F3" s="1"/>
      <c r="G3" s="1"/>
    </row>
    <row r="4" spans="1:7" ht="15" customHeight="1" x14ac:dyDescent="0.3">
      <c r="A4" s="50" t="s">
        <v>98</v>
      </c>
      <c r="B4" s="50"/>
      <c r="C4" s="50"/>
      <c r="D4" s="50"/>
      <c r="E4" s="50"/>
      <c r="F4" s="50"/>
      <c r="G4" s="50"/>
    </row>
    <row r="5" spans="1:7" ht="15" customHeight="1" x14ac:dyDescent="0.3">
      <c r="A5" s="18"/>
      <c r="B5" s="7" t="s">
        <v>99</v>
      </c>
      <c r="C5" s="7" t="s">
        <v>100</v>
      </c>
      <c r="D5" s="7" t="s">
        <v>101</v>
      </c>
      <c r="E5" s="7" t="s">
        <v>102</v>
      </c>
      <c r="F5" s="7" t="s">
        <v>103</v>
      </c>
      <c r="G5" s="7" t="s">
        <v>104</v>
      </c>
    </row>
    <row r="6" spans="1:7" ht="15" customHeight="1" x14ac:dyDescent="0.3">
      <c r="A6" s="6" t="s">
        <v>105</v>
      </c>
      <c r="B6" s="19">
        <f>Assumptions!$C$6</f>
        <v>2302</v>
      </c>
      <c r="C6" s="19">
        <f>B6*(1+Assumptions!$C$7)</f>
        <v>2417.1</v>
      </c>
      <c r="D6" s="19">
        <f>C6*(1+Assumptions!$C$8)</f>
        <v>2537.9549999999999</v>
      </c>
      <c r="E6" s="19">
        <f>D6*(1+Assumptions!$C$9)</f>
        <v>2639.4731999999999</v>
      </c>
      <c r="F6" s="19">
        <f>E6*(1+Assumptions!$C$10)</f>
        <v>2745.0521279999998</v>
      </c>
      <c r="G6" s="19">
        <f>F6*(1+Assumptions!$C$11)</f>
        <v>2827.4036918399997</v>
      </c>
    </row>
    <row r="7" spans="1:7" ht="15" customHeight="1" x14ac:dyDescent="0.3">
      <c r="A7" s="6" t="s">
        <v>106</v>
      </c>
      <c r="B7" s="20">
        <f>Assumptions!$C$14</f>
        <v>0.747</v>
      </c>
      <c r="C7" s="20">
        <f>Assumptions!$C$15</f>
        <v>0.65</v>
      </c>
      <c r="D7" s="20">
        <f>Assumptions!$C$16</f>
        <v>0.62</v>
      </c>
      <c r="E7" s="20">
        <f>Assumptions!$C$17</f>
        <v>0.6</v>
      </c>
      <c r="F7" s="20">
        <f>Assumptions!$C$18</f>
        <v>0.57999999999999996</v>
      </c>
      <c r="G7" s="20">
        <f>Assumptions!$C$19</f>
        <v>0.56000000000000005</v>
      </c>
    </row>
    <row r="8" spans="1:7" ht="15" customHeight="1" x14ac:dyDescent="0.3">
      <c r="A8" s="21" t="s">
        <v>107</v>
      </c>
      <c r="B8" s="22">
        <f t="shared" ref="B8:G8" si="0">B6*B7</f>
        <v>1719.5940000000001</v>
      </c>
      <c r="C8" s="22">
        <f t="shared" si="0"/>
        <v>1571.115</v>
      </c>
      <c r="D8" s="22">
        <f t="shared" si="0"/>
        <v>1573.5320999999999</v>
      </c>
      <c r="E8" s="22">
        <f t="shared" si="0"/>
        <v>1583.6839199999999</v>
      </c>
      <c r="F8" s="22">
        <f t="shared" si="0"/>
        <v>1592.1302342399997</v>
      </c>
      <c r="G8" s="22">
        <f t="shared" si="0"/>
        <v>1583.3460674303999</v>
      </c>
    </row>
    <row r="9" spans="1:7" ht="15" customHeight="1" x14ac:dyDescent="0.3">
      <c r="A9" s="6" t="s">
        <v>108</v>
      </c>
      <c r="B9" s="19">
        <f>Assumptions!$C$22*B6</f>
        <v>80.570000000000007</v>
      </c>
      <c r="C9" s="19">
        <f>Assumptions!$C$22*C6</f>
        <v>84.598500000000001</v>
      </c>
      <c r="D9" s="19">
        <f>Assumptions!$C$22*D6</f>
        <v>88.82842500000001</v>
      </c>
      <c r="E9" s="19">
        <f>Assumptions!$C$22*E6</f>
        <v>92.381562000000002</v>
      </c>
      <c r="F9" s="19">
        <f>Assumptions!$C$22*F6</f>
        <v>96.076824479999999</v>
      </c>
      <c r="G9" s="19">
        <f>Assumptions!$C$22*G6</f>
        <v>98.959129214399994</v>
      </c>
    </row>
    <row r="10" spans="1:7" ht="15" customHeight="1" x14ac:dyDescent="0.3">
      <c r="A10" s="21" t="s">
        <v>109</v>
      </c>
      <c r="B10" s="22">
        <f t="shared" ref="B10:G10" si="1">B8-B9</f>
        <v>1639.0240000000001</v>
      </c>
      <c r="C10" s="22">
        <f t="shared" si="1"/>
        <v>1486.5165</v>
      </c>
      <c r="D10" s="22">
        <f t="shared" si="1"/>
        <v>1484.703675</v>
      </c>
      <c r="E10" s="22">
        <f t="shared" si="1"/>
        <v>1491.3023579999999</v>
      </c>
      <c r="F10" s="22">
        <f t="shared" si="1"/>
        <v>1496.0534097599998</v>
      </c>
      <c r="G10" s="22">
        <f t="shared" si="1"/>
        <v>1484.3869382159999</v>
      </c>
    </row>
    <row r="11" spans="1:7" ht="24" customHeight="1" x14ac:dyDescent="0.3">
      <c r="A11" s="6" t="s">
        <v>110</v>
      </c>
      <c r="B11" s="19">
        <f>Assumptions!$C$23*B6</f>
        <v>80.570000000000007</v>
      </c>
      <c r="C11" s="19">
        <f>Assumptions!$C$23*C6</f>
        <v>84.598500000000001</v>
      </c>
      <c r="D11" s="19">
        <f>Assumptions!$C$23*D6</f>
        <v>88.82842500000001</v>
      </c>
      <c r="E11" s="19">
        <f>Assumptions!$C$23*E6</f>
        <v>92.381562000000002</v>
      </c>
      <c r="F11" s="19">
        <f>Assumptions!$C$23*F6</f>
        <v>96.076824479999999</v>
      </c>
      <c r="G11" s="19">
        <f>Assumptions!$C$23*G6</f>
        <v>98.959129214399994</v>
      </c>
    </row>
    <row r="12" spans="1:7" ht="15" customHeight="1" x14ac:dyDescent="0.3">
      <c r="A12" s="6" t="s">
        <v>111</v>
      </c>
      <c r="B12" s="19" t="s">
        <v>112</v>
      </c>
      <c r="C12" s="19">
        <f>(C6-B6)*Assumptions!$C$24</f>
        <v>1.1509999999999991</v>
      </c>
      <c r="D12" s="19">
        <f>(D6-C6)*Assumptions!$C$24</f>
        <v>1.2085500000000002</v>
      </c>
      <c r="E12" s="19">
        <f>(E6-D6)*Assumptions!$C$24</f>
        <v>1.0151819999999998</v>
      </c>
      <c r="F12" s="19">
        <f>(F6-E6)*Assumptions!$C$24</f>
        <v>1.0557892799999991</v>
      </c>
      <c r="G12" s="19">
        <f>(G6-F6)*Assumptions!$C$24</f>
        <v>0.82351563839999931</v>
      </c>
    </row>
    <row r="13" spans="1:7" ht="15" customHeight="1" x14ac:dyDescent="0.3">
      <c r="A13" s="1"/>
      <c r="B13" s="1"/>
      <c r="C13" s="1"/>
      <c r="D13" s="1"/>
      <c r="E13" s="1"/>
      <c r="F13" s="1"/>
      <c r="G13" s="1"/>
    </row>
    <row r="14" spans="1:7" ht="15" customHeight="1" x14ac:dyDescent="0.3">
      <c r="A14" s="1"/>
      <c r="B14" s="1"/>
      <c r="C14" s="1"/>
      <c r="D14" s="1"/>
      <c r="E14" s="1"/>
      <c r="F14" s="1"/>
      <c r="G14" s="1"/>
    </row>
    <row r="15" spans="1:7" ht="15" customHeight="1" x14ac:dyDescent="0.3">
      <c r="A15" s="1"/>
      <c r="B15" s="1"/>
      <c r="C15" s="1"/>
      <c r="D15" s="1"/>
      <c r="E15" s="1"/>
      <c r="F15" s="1"/>
      <c r="G15" s="1"/>
    </row>
    <row r="16" spans="1:7" ht="15" customHeight="1" x14ac:dyDescent="0.3">
      <c r="A16" s="1"/>
      <c r="B16" s="1"/>
      <c r="C16" s="1"/>
      <c r="D16" s="1"/>
      <c r="E16" s="1"/>
      <c r="F16" s="1"/>
      <c r="G16" s="1"/>
    </row>
    <row r="17" spans="1:7" ht="15" customHeight="1" x14ac:dyDescent="0.3">
      <c r="A17" s="1"/>
      <c r="B17" s="1"/>
      <c r="C17" s="1"/>
      <c r="D17" s="1"/>
      <c r="E17" s="1"/>
      <c r="F17" s="1"/>
      <c r="G17" s="1"/>
    </row>
    <row r="18" spans="1:7" ht="15" customHeight="1" x14ac:dyDescent="0.3">
      <c r="A18" s="1"/>
      <c r="B18" s="1"/>
      <c r="C18" s="1"/>
      <c r="D18" s="1"/>
      <c r="E18" s="1"/>
      <c r="F18" s="1"/>
      <c r="G18" s="1"/>
    </row>
    <row r="19" spans="1:7" ht="15" customHeight="1" x14ac:dyDescent="0.3">
      <c r="A19" s="51" t="s">
        <v>113</v>
      </c>
      <c r="B19" s="51"/>
      <c r="C19" s="51"/>
      <c r="D19" s="51"/>
      <c r="E19" s="51"/>
      <c r="F19" s="51"/>
      <c r="G19" s="51"/>
    </row>
    <row r="20" spans="1:7" ht="15" customHeight="1" x14ac:dyDescent="0.3">
      <c r="A20" s="18"/>
      <c r="B20" s="7" t="s">
        <v>99</v>
      </c>
      <c r="C20" s="7" t="s">
        <v>100</v>
      </c>
      <c r="D20" s="7" t="s">
        <v>101</v>
      </c>
      <c r="E20" s="7" t="s">
        <v>102</v>
      </c>
      <c r="F20" s="7" t="s">
        <v>103</v>
      </c>
      <c r="G20" s="7" t="s">
        <v>104</v>
      </c>
    </row>
    <row r="21" spans="1:7" ht="15" customHeight="1" x14ac:dyDescent="0.3">
      <c r="A21" s="6" t="s">
        <v>105</v>
      </c>
      <c r="B21" s="19">
        <f>Assumptions!$C$6</f>
        <v>2302</v>
      </c>
      <c r="C21" s="19">
        <f>B21*(1+Assumptions!$D$7)</f>
        <v>2578.2400000000002</v>
      </c>
      <c r="D21" s="19">
        <f>C21*(1+Assumptions!$D$8)</f>
        <v>2836.0640000000003</v>
      </c>
      <c r="E21" s="19">
        <f>D21*(1+Assumptions!$D$9)</f>
        <v>3091.3097600000006</v>
      </c>
      <c r="F21" s="19">
        <f>E21*(1+Assumptions!$D$10)</f>
        <v>3338.6145408000007</v>
      </c>
      <c r="G21" s="19">
        <f>F21*(1+Assumptions!$D$11)</f>
        <v>3572.317558656001</v>
      </c>
    </row>
    <row r="22" spans="1:7" ht="15" customHeight="1" x14ac:dyDescent="0.3">
      <c r="A22" s="6" t="s">
        <v>106</v>
      </c>
      <c r="B22" s="20">
        <f>Assumptions!$C$14</f>
        <v>0.747</v>
      </c>
      <c r="C22" s="20">
        <f>Assumptions!$D$15</f>
        <v>0.68</v>
      </c>
      <c r="D22" s="20">
        <f>Assumptions!$D$16</f>
        <v>0.67</v>
      </c>
      <c r="E22" s="20">
        <f>Assumptions!$D$17</f>
        <v>0.67</v>
      </c>
      <c r="F22" s="20">
        <f>Assumptions!$D$18</f>
        <v>0.66</v>
      </c>
      <c r="G22" s="20">
        <f>Assumptions!$D$19</f>
        <v>0.65</v>
      </c>
    </row>
    <row r="23" spans="1:7" ht="15" customHeight="1" x14ac:dyDescent="0.3">
      <c r="A23" s="21" t="s">
        <v>107</v>
      </c>
      <c r="B23" s="22">
        <f t="shared" ref="B23:G23" si="2">B21*B22</f>
        <v>1719.5940000000001</v>
      </c>
      <c r="C23" s="22">
        <f t="shared" si="2"/>
        <v>1753.2032000000004</v>
      </c>
      <c r="D23" s="22">
        <f t="shared" si="2"/>
        <v>1900.1628800000003</v>
      </c>
      <c r="E23" s="22">
        <f t="shared" si="2"/>
        <v>2071.1775392000004</v>
      </c>
      <c r="F23" s="22">
        <f t="shared" si="2"/>
        <v>2203.4855969280006</v>
      </c>
      <c r="G23" s="22">
        <f t="shared" si="2"/>
        <v>2322.0064131264007</v>
      </c>
    </row>
    <row r="24" spans="1:7" ht="15" customHeight="1" x14ac:dyDescent="0.3">
      <c r="A24" s="6" t="s">
        <v>108</v>
      </c>
      <c r="B24" s="19">
        <f>Assumptions!$D$22*B21</f>
        <v>80.570000000000007</v>
      </c>
      <c r="C24" s="19">
        <f>Assumptions!$D$22*C21</f>
        <v>90.238400000000013</v>
      </c>
      <c r="D24" s="19">
        <f>Assumptions!$D$22*D21</f>
        <v>99.26224000000002</v>
      </c>
      <c r="E24" s="19">
        <f>Assumptions!$D$22*E21</f>
        <v>108.19584160000002</v>
      </c>
      <c r="F24" s="19">
        <f>Assumptions!$D$22*F21</f>
        <v>116.85150892800003</v>
      </c>
      <c r="G24" s="19">
        <f>Assumptions!$D$22*G21</f>
        <v>125.03111455296005</v>
      </c>
    </row>
    <row r="25" spans="1:7" ht="15" customHeight="1" x14ac:dyDescent="0.3">
      <c r="A25" s="21" t="s">
        <v>109</v>
      </c>
      <c r="B25" s="22">
        <f t="shared" ref="B25:G25" si="3">B23-B24</f>
        <v>1639.0240000000001</v>
      </c>
      <c r="C25" s="22">
        <f t="shared" si="3"/>
        <v>1662.9648000000004</v>
      </c>
      <c r="D25" s="22">
        <f t="shared" si="3"/>
        <v>1800.9006400000003</v>
      </c>
      <c r="E25" s="22">
        <f t="shared" si="3"/>
        <v>1962.9816976000004</v>
      </c>
      <c r="F25" s="22">
        <f t="shared" si="3"/>
        <v>2086.6340880000007</v>
      </c>
      <c r="G25" s="22">
        <f t="shared" si="3"/>
        <v>2196.9752985734408</v>
      </c>
    </row>
    <row r="26" spans="1:7" ht="15" customHeight="1" x14ac:dyDescent="0.3">
      <c r="A26" s="6" t="s">
        <v>110</v>
      </c>
      <c r="B26" s="19">
        <f>Assumptions!$D$23*B21</f>
        <v>80.570000000000007</v>
      </c>
      <c r="C26" s="19">
        <f>Assumptions!$D$23*C21</f>
        <v>90.238400000000013</v>
      </c>
      <c r="D26" s="19">
        <f>Assumptions!$D$23*D21</f>
        <v>99.26224000000002</v>
      </c>
      <c r="E26" s="19">
        <f>Assumptions!$D$23*E21</f>
        <v>108.19584160000002</v>
      </c>
      <c r="F26" s="19">
        <f>Assumptions!$D$23*F21</f>
        <v>116.85150892800003</v>
      </c>
      <c r="G26" s="19">
        <f>Assumptions!$D$23*G21</f>
        <v>125.03111455296005</v>
      </c>
    </row>
    <row r="27" spans="1:7" ht="12" customHeight="1" x14ac:dyDescent="0.3">
      <c r="A27" s="6" t="s">
        <v>111</v>
      </c>
      <c r="B27" s="19" t="s">
        <v>112</v>
      </c>
      <c r="C27" s="19">
        <f>(C21-B21)*Assumptions!$D$24</f>
        <v>2.7624000000000026</v>
      </c>
      <c r="D27" s="19">
        <f>(D21-C21)*Assumptions!$D$24</f>
        <v>2.5782400000000005</v>
      </c>
      <c r="E27" s="19">
        <f>(E21-D21)*Assumptions!$D$24</f>
        <v>2.5524576000000025</v>
      </c>
      <c r="F27" s="19">
        <f>(F21-E21)*Assumptions!$D$24</f>
        <v>2.4730478080000013</v>
      </c>
      <c r="G27" s="19">
        <f>(G21-F21)*Assumptions!$D$24</f>
        <v>2.3370301785600032</v>
      </c>
    </row>
    <row r="28" spans="1:7" ht="15" customHeight="1" x14ac:dyDescent="0.3">
      <c r="A28" s="1"/>
      <c r="B28" s="1"/>
      <c r="C28" s="1"/>
      <c r="D28" s="1"/>
      <c r="E28" s="1"/>
      <c r="F28" s="1"/>
      <c r="G28" s="1"/>
    </row>
    <row r="29" spans="1:7" ht="15" customHeight="1" x14ac:dyDescent="0.3">
      <c r="A29" s="1"/>
      <c r="B29" s="1"/>
      <c r="C29" s="1"/>
      <c r="D29" s="1"/>
      <c r="E29" s="1"/>
      <c r="F29" s="1"/>
      <c r="G29" s="1"/>
    </row>
    <row r="30" spans="1:7" ht="15" customHeight="1" x14ac:dyDescent="0.3">
      <c r="A30" s="1"/>
      <c r="B30" s="1"/>
      <c r="C30" s="1"/>
      <c r="D30" s="1"/>
      <c r="E30" s="1"/>
      <c r="F30" s="1"/>
      <c r="G30" s="1"/>
    </row>
    <row r="31" spans="1:7" ht="15" customHeight="1" x14ac:dyDescent="0.3">
      <c r="A31" s="1"/>
      <c r="B31" s="1"/>
      <c r="C31" s="1"/>
      <c r="D31" s="1"/>
      <c r="E31" s="1"/>
      <c r="F31" s="1"/>
      <c r="G31" s="1"/>
    </row>
    <row r="32" spans="1:7" ht="15" customHeight="1" x14ac:dyDescent="0.3">
      <c r="A32" s="1"/>
      <c r="B32" s="1"/>
      <c r="C32" s="1"/>
      <c r="D32" s="1"/>
      <c r="E32" s="1"/>
      <c r="F32" s="1"/>
      <c r="G32" s="1"/>
    </row>
    <row r="33" spans="1:7" ht="15" customHeight="1" x14ac:dyDescent="0.3">
      <c r="A33" s="1"/>
      <c r="B33" s="1"/>
      <c r="C33" s="1"/>
      <c r="D33" s="1"/>
      <c r="E33" s="1"/>
      <c r="F33" s="1"/>
      <c r="G33" s="1"/>
    </row>
    <row r="34" spans="1:7" ht="15" customHeight="1" x14ac:dyDescent="0.3">
      <c r="A34" s="52" t="s">
        <v>114</v>
      </c>
      <c r="B34" s="52"/>
      <c r="C34" s="52"/>
      <c r="D34" s="52"/>
      <c r="E34" s="52"/>
      <c r="F34" s="52"/>
      <c r="G34" s="52"/>
    </row>
    <row r="35" spans="1:7" ht="15" customHeight="1" x14ac:dyDescent="0.3">
      <c r="A35" s="18"/>
      <c r="B35" s="7" t="s">
        <v>99</v>
      </c>
      <c r="C35" s="7" t="s">
        <v>100</v>
      </c>
      <c r="D35" s="7" t="s">
        <v>101</v>
      </c>
      <c r="E35" s="7" t="s">
        <v>102</v>
      </c>
      <c r="F35" s="7" t="s">
        <v>103</v>
      </c>
      <c r="G35" s="7" t="s">
        <v>104</v>
      </c>
    </row>
    <row r="36" spans="1:7" ht="15" customHeight="1" x14ac:dyDescent="0.3">
      <c r="A36" s="6" t="s">
        <v>105</v>
      </c>
      <c r="B36" s="19">
        <f>Assumptions!$C$6</f>
        <v>2302</v>
      </c>
      <c r="C36" s="19">
        <f>B36*(1+Assumptions!$E$7)</f>
        <v>2716.3599999999997</v>
      </c>
      <c r="D36" s="19">
        <f>C36*(1+Assumptions!$E$8)</f>
        <v>3150.9775999999993</v>
      </c>
      <c r="E36" s="19">
        <f>D36*(1+Assumptions!$E$9)</f>
        <v>3592.1144639999998</v>
      </c>
      <c r="F36" s="19">
        <f>E36*(1+Assumptions!$E$10)</f>
        <v>4023.1681996800003</v>
      </c>
      <c r="G36" s="19">
        <f>F36*(1+Assumptions!$E$11)</f>
        <v>4425.4850196480011</v>
      </c>
    </row>
    <row r="37" spans="1:7" ht="15" customHeight="1" x14ac:dyDescent="0.3">
      <c r="A37" s="6" t="s">
        <v>106</v>
      </c>
      <c r="B37" s="20">
        <f>Assumptions!$C$14</f>
        <v>0.747</v>
      </c>
      <c r="C37" s="20">
        <f>Assumptions!$E$15</f>
        <v>0.72</v>
      </c>
      <c r="D37" s="20">
        <f>Assumptions!$E$16</f>
        <v>0.72</v>
      </c>
      <c r="E37" s="20">
        <f>Assumptions!$E$17</f>
        <v>0.71</v>
      </c>
      <c r="F37" s="20">
        <f>Assumptions!$E$18</f>
        <v>0.7</v>
      </c>
      <c r="G37" s="20">
        <f>Assumptions!$E$19</f>
        <v>0.7</v>
      </c>
    </row>
    <row r="38" spans="1:7" ht="15" customHeight="1" x14ac:dyDescent="0.3">
      <c r="A38" s="21" t="s">
        <v>107</v>
      </c>
      <c r="B38" s="22">
        <f t="shared" ref="B38:G38" si="4">B36*B37</f>
        <v>1719.5940000000001</v>
      </c>
      <c r="C38" s="22">
        <f t="shared" si="4"/>
        <v>1955.7791999999997</v>
      </c>
      <c r="D38" s="22">
        <f t="shared" si="4"/>
        <v>2268.7038719999996</v>
      </c>
      <c r="E38" s="22">
        <f t="shared" si="4"/>
        <v>2550.4012694399999</v>
      </c>
      <c r="F38" s="22">
        <f t="shared" si="4"/>
        <v>2816.2177397760001</v>
      </c>
      <c r="G38" s="22">
        <f t="shared" si="4"/>
        <v>3097.8395137536004</v>
      </c>
    </row>
    <row r="39" spans="1:7" ht="15" customHeight="1" x14ac:dyDescent="0.3">
      <c r="A39" s="6" t="s">
        <v>108</v>
      </c>
      <c r="B39" s="19">
        <f>Assumptions!$E$22*B36</f>
        <v>80.570000000000007</v>
      </c>
      <c r="C39" s="19">
        <f>Assumptions!$E$22*C36</f>
        <v>95.072599999999994</v>
      </c>
      <c r="D39" s="19">
        <f>Assumptions!$E$22*D36</f>
        <v>110.28421599999999</v>
      </c>
      <c r="E39" s="19">
        <f>Assumptions!$E$22*E36</f>
        <v>125.72400624000001</v>
      </c>
      <c r="F39" s="19">
        <f>Assumptions!$E$22*F36</f>
        <v>140.81088698880004</v>
      </c>
      <c r="G39" s="19">
        <f>Assumptions!$E$22*G36</f>
        <v>154.89197568768006</v>
      </c>
    </row>
    <row r="40" spans="1:7" ht="15" customHeight="1" x14ac:dyDescent="0.3">
      <c r="A40" s="21" t="s">
        <v>109</v>
      </c>
      <c r="B40" s="22">
        <f t="shared" ref="B40:G40" si="5">B38-B39</f>
        <v>1639.0240000000001</v>
      </c>
      <c r="C40" s="22">
        <f t="shared" si="5"/>
        <v>1860.7065999999998</v>
      </c>
      <c r="D40" s="22">
        <f t="shared" si="5"/>
        <v>2158.4196559999996</v>
      </c>
      <c r="E40" s="22">
        <f t="shared" si="5"/>
        <v>2424.6772631999997</v>
      </c>
      <c r="F40" s="22">
        <f t="shared" si="5"/>
        <v>2675.4068527872</v>
      </c>
      <c r="G40" s="22">
        <f t="shared" si="5"/>
        <v>2942.9475380659205</v>
      </c>
    </row>
    <row r="41" spans="1:7" ht="15" customHeight="1" x14ac:dyDescent="0.3">
      <c r="A41" s="6" t="s">
        <v>110</v>
      </c>
      <c r="B41" s="19">
        <f>Assumptions!$E$23*B36</f>
        <v>69.06</v>
      </c>
      <c r="C41" s="19">
        <f>Assumptions!$E$23*C36</f>
        <v>81.490799999999993</v>
      </c>
      <c r="D41" s="19">
        <f>Assumptions!$E$23*D36</f>
        <v>94.529327999999978</v>
      </c>
      <c r="E41" s="19">
        <f>Assumptions!$E$23*E36</f>
        <v>107.76343391999998</v>
      </c>
      <c r="F41" s="19">
        <f>Assumptions!$E$23*F36</f>
        <v>120.6950459904</v>
      </c>
      <c r="G41" s="19">
        <f>Assumptions!$E$23*G36</f>
        <v>132.76455058944003</v>
      </c>
    </row>
    <row r="42" spans="1:7" ht="15" customHeight="1" x14ac:dyDescent="0.3">
      <c r="A42" s="6" t="s">
        <v>111</v>
      </c>
      <c r="B42" s="19" t="s">
        <v>112</v>
      </c>
      <c r="C42" s="19">
        <f>(C36-B36)*Assumptions!$E$24</f>
        <v>4.1435999999999966</v>
      </c>
      <c r="D42" s="19">
        <f>(D36-C36)*Assumptions!$E$24</f>
        <v>4.3461759999999963</v>
      </c>
      <c r="E42" s="19">
        <f>(E36-D36)*Assumptions!$E$24</f>
        <v>4.4113686400000054</v>
      </c>
      <c r="F42" s="19">
        <f>(F36-E36)*Assumptions!$E$24</f>
        <v>4.3105373568000047</v>
      </c>
      <c r="G42" s="19">
        <f>(G36-F36)*Assumptions!$E$24</f>
        <v>4.0231681996800077</v>
      </c>
    </row>
  </sheetData>
  <mergeCells count="5">
    <mergeCell ref="A1:G1"/>
    <mergeCell ref="A2:G2"/>
    <mergeCell ref="A4:G4"/>
    <mergeCell ref="A19:G19"/>
    <mergeCell ref="A34:G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showGridLines="0" topLeftCell="A19" zoomScaleNormal="100" workbookViewId="0">
      <selection sqref="A1:G1"/>
    </sheetView>
  </sheetViews>
  <sheetFormatPr defaultColWidth="8.6640625" defaultRowHeight="14.4" x14ac:dyDescent="0.3"/>
  <cols>
    <col min="1" max="1" width="38" customWidth="1"/>
    <col min="2" max="7" width="12" customWidth="1"/>
  </cols>
  <sheetData>
    <row r="1" spans="1:7" ht="15.75" customHeight="1" x14ac:dyDescent="0.3">
      <c r="A1" s="46" t="s">
        <v>115</v>
      </c>
      <c r="B1" s="46"/>
      <c r="C1" s="46"/>
      <c r="D1" s="46"/>
      <c r="E1" s="46"/>
      <c r="F1" s="46"/>
      <c r="G1" s="46"/>
    </row>
    <row r="2" spans="1:7" ht="15" customHeight="1" x14ac:dyDescent="0.3">
      <c r="A2" s="47" t="s">
        <v>116</v>
      </c>
      <c r="B2" s="47"/>
      <c r="C2" s="47"/>
      <c r="D2" s="47"/>
      <c r="E2" s="47"/>
      <c r="F2" s="47"/>
      <c r="G2" s="47"/>
    </row>
    <row r="3" spans="1:7" ht="15" customHeight="1" x14ac:dyDescent="0.3">
      <c r="A3" s="1"/>
      <c r="B3" s="1"/>
      <c r="C3" s="1"/>
      <c r="D3" s="1"/>
      <c r="E3" s="1"/>
      <c r="F3" s="1"/>
      <c r="G3" s="1"/>
    </row>
    <row r="4" spans="1:7" ht="15" customHeight="1" x14ac:dyDescent="0.3">
      <c r="A4" s="50" t="s">
        <v>117</v>
      </c>
      <c r="B4" s="50"/>
      <c r="C4" s="50"/>
      <c r="D4" s="50"/>
      <c r="E4" s="50"/>
      <c r="F4" s="50"/>
      <c r="G4" s="50"/>
    </row>
    <row r="5" spans="1:7" ht="15" customHeight="1" x14ac:dyDescent="0.3">
      <c r="A5" s="18"/>
      <c r="B5" s="7" t="s">
        <v>118</v>
      </c>
      <c r="C5" s="7" t="s">
        <v>100</v>
      </c>
      <c r="D5" s="7" t="s">
        <v>101</v>
      </c>
      <c r="E5" s="7" t="s">
        <v>102</v>
      </c>
      <c r="F5" s="7" t="s">
        <v>103</v>
      </c>
      <c r="G5" s="7" t="s">
        <v>104</v>
      </c>
    </row>
    <row r="6" spans="1:7" ht="15" customHeight="1" x14ac:dyDescent="0.3">
      <c r="A6" s="6" t="s">
        <v>119</v>
      </c>
      <c r="B6" s="23">
        <f>'Income Stmt'!B10</f>
        <v>1639.0240000000001</v>
      </c>
      <c r="C6" s="23">
        <f>'Income Stmt'!C10</f>
        <v>1486.5165</v>
      </c>
      <c r="D6" s="23">
        <f>'Income Stmt'!D10</f>
        <v>1484.703675</v>
      </c>
      <c r="E6" s="23">
        <f>'Income Stmt'!E10</f>
        <v>1491.3023579999999</v>
      </c>
      <c r="F6" s="23">
        <f>'Income Stmt'!F10</f>
        <v>1496.0534097599998</v>
      </c>
      <c r="G6" s="23">
        <f>'Income Stmt'!G10</f>
        <v>1484.3869382159999</v>
      </c>
    </row>
    <row r="7" spans="1:7" ht="15" customHeight="1" x14ac:dyDescent="0.3">
      <c r="A7" s="6" t="s">
        <v>120</v>
      </c>
      <c r="B7" s="24">
        <f>Assumptions!$C$27</f>
        <v>0.21</v>
      </c>
      <c r="C7" s="24">
        <f>Assumptions!$C$27</f>
        <v>0.21</v>
      </c>
      <c r="D7" s="24">
        <f>Assumptions!$C$27</f>
        <v>0.21</v>
      </c>
      <c r="E7" s="24">
        <f>Assumptions!$C$27</f>
        <v>0.21</v>
      </c>
      <c r="F7" s="24">
        <f>Assumptions!$C$27</f>
        <v>0.21</v>
      </c>
      <c r="G7" s="24">
        <f>Assumptions!$C$27</f>
        <v>0.21</v>
      </c>
    </row>
    <row r="8" spans="1:7" ht="15" customHeight="1" x14ac:dyDescent="0.3">
      <c r="A8" s="21" t="s">
        <v>121</v>
      </c>
      <c r="B8" s="22">
        <f t="shared" ref="B8:G8" si="0">B6*(1-B7)</f>
        <v>1294.8289600000001</v>
      </c>
      <c r="C8" s="22">
        <f t="shared" si="0"/>
        <v>1174.348035</v>
      </c>
      <c r="D8" s="22">
        <f t="shared" si="0"/>
        <v>1172.9159032499999</v>
      </c>
      <c r="E8" s="22">
        <f t="shared" si="0"/>
        <v>1178.12886282</v>
      </c>
      <c r="F8" s="22">
        <f t="shared" si="0"/>
        <v>1181.8821937103999</v>
      </c>
      <c r="G8" s="22">
        <f t="shared" si="0"/>
        <v>1172.66568119064</v>
      </c>
    </row>
    <row r="9" spans="1:7" ht="15" customHeight="1" x14ac:dyDescent="0.3">
      <c r="A9" s="6" t="s">
        <v>122</v>
      </c>
      <c r="B9" s="23">
        <f>'Income Stmt'!B9</f>
        <v>80.570000000000007</v>
      </c>
      <c r="C9" s="23">
        <f>'Income Stmt'!C9</f>
        <v>84.598500000000001</v>
      </c>
      <c r="D9" s="23">
        <f>'Income Stmt'!D9</f>
        <v>88.82842500000001</v>
      </c>
      <c r="E9" s="23">
        <f>'Income Stmt'!E9</f>
        <v>92.381562000000002</v>
      </c>
      <c r="F9" s="23">
        <f>'Income Stmt'!F9</f>
        <v>96.076824479999999</v>
      </c>
      <c r="G9" s="23">
        <f>'Income Stmt'!G9</f>
        <v>98.959129214399994</v>
      </c>
    </row>
    <row r="10" spans="1:7" ht="15" customHeight="1" x14ac:dyDescent="0.3">
      <c r="A10" s="6" t="s">
        <v>123</v>
      </c>
      <c r="B10" s="23">
        <f>'Income Stmt'!B11</f>
        <v>80.570000000000007</v>
      </c>
      <c r="C10" s="23">
        <f>'Income Stmt'!C11</f>
        <v>84.598500000000001</v>
      </c>
      <c r="D10" s="23">
        <f>'Income Stmt'!D11</f>
        <v>88.82842500000001</v>
      </c>
      <c r="E10" s="23">
        <f>'Income Stmt'!E11</f>
        <v>92.381562000000002</v>
      </c>
      <c r="F10" s="23">
        <f>'Income Stmt'!F11</f>
        <v>96.076824479999999</v>
      </c>
      <c r="G10" s="23">
        <f>'Income Stmt'!G11</f>
        <v>98.959129214399994</v>
      </c>
    </row>
    <row r="11" spans="1:7" ht="15" customHeight="1" x14ac:dyDescent="0.3">
      <c r="A11" s="6" t="s">
        <v>124</v>
      </c>
      <c r="B11" s="23" t="str">
        <f>'Income Stmt'!B12</f>
        <v>0</v>
      </c>
      <c r="C11" s="23">
        <f>'Income Stmt'!C12</f>
        <v>1.1509999999999991</v>
      </c>
      <c r="D11" s="23">
        <f>'Income Stmt'!D12</f>
        <v>1.2085500000000002</v>
      </c>
      <c r="E11" s="23">
        <f>'Income Stmt'!E12</f>
        <v>1.0151819999999998</v>
      </c>
      <c r="F11" s="23">
        <f>'Income Stmt'!F12</f>
        <v>1.0557892799999991</v>
      </c>
      <c r="G11" s="23">
        <f>'Income Stmt'!G12</f>
        <v>0.82351563839999931</v>
      </c>
    </row>
    <row r="12" spans="1:7" ht="15" customHeight="1" x14ac:dyDescent="0.3">
      <c r="A12" s="21" t="s">
        <v>125</v>
      </c>
      <c r="B12" s="25">
        <f t="shared" ref="B12:G12" si="1">B8+B9-B10-B11</f>
        <v>1294.8289600000001</v>
      </c>
      <c r="C12" s="25">
        <f t="shared" si="1"/>
        <v>1173.1970349999999</v>
      </c>
      <c r="D12" s="25">
        <f t="shared" si="1"/>
        <v>1171.7073532499999</v>
      </c>
      <c r="E12" s="25">
        <f t="shared" si="1"/>
        <v>1177.1136808199999</v>
      </c>
      <c r="F12" s="25">
        <f t="shared" si="1"/>
        <v>1180.8264044303999</v>
      </c>
      <c r="G12" s="25">
        <f t="shared" si="1"/>
        <v>1171.84216555224</v>
      </c>
    </row>
    <row r="13" spans="1:7" ht="15" customHeight="1" x14ac:dyDescent="0.3">
      <c r="A13" s="1"/>
      <c r="B13" s="1"/>
      <c r="C13" s="1"/>
      <c r="D13" s="1"/>
      <c r="E13" s="1"/>
      <c r="F13" s="1"/>
      <c r="G13" s="1"/>
    </row>
    <row r="14" spans="1:7" ht="15" customHeight="1" x14ac:dyDescent="0.3">
      <c r="A14" s="1"/>
      <c r="B14" s="1"/>
      <c r="C14" s="1"/>
      <c r="D14" s="1"/>
      <c r="E14" s="1"/>
      <c r="F14" s="1"/>
      <c r="G14" s="1"/>
    </row>
    <row r="15" spans="1:7" ht="15" customHeight="1" x14ac:dyDescent="0.3">
      <c r="A15" s="1"/>
      <c r="B15" s="1"/>
      <c r="C15" s="1"/>
      <c r="D15" s="1"/>
      <c r="E15" s="1"/>
      <c r="F15" s="1"/>
      <c r="G15" s="1"/>
    </row>
    <row r="16" spans="1:7" ht="15" customHeight="1" x14ac:dyDescent="0.3">
      <c r="A16" s="1"/>
      <c r="B16" s="1"/>
      <c r="C16" s="1"/>
      <c r="D16" s="1"/>
      <c r="E16" s="1"/>
      <c r="F16" s="1"/>
      <c r="G16" s="1"/>
    </row>
    <row r="17" spans="1:7" ht="15" customHeight="1" x14ac:dyDescent="0.3">
      <c r="A17" s="51" t="s">
        <v>126</v>
      </c>
      <c r="B17" s="51"/>
      <c r="C17" s="51"/>
      <c r="D17" s="51"/>
      <c r="E17" s="51"/>
      <c r="F17" s="51"/>
      <c r="G17" s="51"/>
    </row>
    <row r="18" spans="1:7" ht="15" customHeight="1" x14ac:dyDescent="0.3">
      <c r="A18" s="18"/>
      <c r="B18" s="7" t="s">
        <v>118</v>
      </c>
      <c r="C18" s="7" t="s">
        <v>100</v>
      </c>
      <c r="D18" s="7" t="s">
        <v>101</v>
      </c>
      <c r="E18" s="7" t="s">
        <v>102</v>
      </c>
      <c r="F18" s="7" t="s">
        <v>103</v>
      </c>
      <c r="G18" s="7" t="s">
        <v>104</v>
      </c>
    </row>
    <row r="19" spans="1:7" ht="15" customHeight="1" x14ac:dyDescent="0.3">
      <c r="A19" s="6" t="s">
        <v>119</v>
      </c>
      <c r="B19" s="23">
        <f>'Income Stmt'!B25</f>
        <v>1639.0240000000001</v>
      </c>
      <c r="C19" s="23">
        <f>'Income Stmt'!C25</f>
        <v>1662.9648000000004</v>
      </c>
      <c r="D19" s="23">
        <f>'Income Stmt'!D25</f>
        <v>1800.9006400000003</v>
      </c>
      <c r="E19" s="23">
        <f>'Income Stmt'!E25</f>
        <v>1962.9816976000004</v>
      </c>
      <c r="F19" s="23">
        <f>'Income Stmt'!F25</f>
        <v>2086.6340880000007</v>
      </c>
      <c r="G19" s="23">
        <f>'Income Stmt'!G25</f>
        <v>2196.9752985734408</v>
      </c>
    </row>
    <row r="20" spans="1:7" ht="15" customHeight="1" x14ac:dyDescent="0.3">
      <c r="A20" s="6" t="s">
        <v>120</v>
      </c>
      <c r="B20" s="24">
        <f>Assumptions!$D$27</f>
        <v>0.21</v>
      </c>
      <c r="C20" s="24">
        <f>Assumptions!$D$27</f>
        <v>0.21</v>
      </c>
      <c r="D20" s="24">
        <f>Assumptions!$D$27</f>
        <v>0.21</v>
      </c>
      <c r="E20" s="24">
        <f>Assumptions!$D$27</f>
        <v>0.21</v>
      </c>
      <c r="F20" s="24">
        <f>Assumptions!$D$27</f>
        <v>0.21</v>
      </c>
      <c r="G20" s="24">
        <f>Assumptions!$D$27</f>
        <v>0.21</v>
      </c>
    </row>
    <row r="21" spans="1:7" ht="15" customHeight="1" x14ac:dyDescent="0.3">
      <c r="A21" s="21" t="s">
        <v>121</v>
      </c>
      <c r="B21" s="22">
        <f t="shared" ref="B21:G21" si="2">B19*(1-B20)</f>
        <v>1294.8289600000001</v>
      </c>
      <c r="C21" s="22">
        <f t="shared" si="2"/>
        <v>1313.7421920000004</v>
      </c>
      <c r="D21" s="22">
        <f t="shared" si="2"/>
        <v>1422.7115056000002</v>
      </c>
      <c r="E21" s="22">
        <f t="shared" si="2"/>
        <v>1550.7555411040005</v>
      </c>
      <c r="F21" s="22">
        <f t="shared" si="2"/>
        <v>1648.4409295200007</v>
      </c>
      <c r="G21" s="22">
        <f t="shared" si="2"/>
        <v>1735.6104858730182</v>
      </c>
    </row>
    <row r="22" spans="1:7" ht="15" customHeight="1" x14ac:dyDescent="0.3">
      <c r="A22" s="6" t="s">
        <v>122</v>
      </c>
      <c r="B22" s="23">
        <f>'Income Stmt'!B24</f>
        <v>80.570000000000007</v>
      </c>
      <c r="C22" s="23">
        <f>'Income Stmt'!C24</f>
        <v>90.238400000000013</v>
      </c>
      <c r="D22" s="23">
        <f>'Income Stmt'!D24</f>
        <v>99.26224000000002</v>
      </c>
      <c r="E22" s="23">
        <f>'Income Stmt'!E24</f>
        <v>108.19584160000002</v>
      </c>
      <c r="F22" s="23">
        <f>'Income Stmt'!F24</f>
        <v>116.85150892800003</v>
      </c>
      <c r="G22" s="23">
        <f>'Income Stmt'!G24</f>
        <v>125.03111455296005</v>
      </c>
    </row>
    <row r="23" spans="1:7" ht="15" customHeight="1" x14ac:dyDescent="0.3">
      <c r="A23" s="6" t="s">
        <v>123</v>
      </c>
      <c r="B23" s="23">
        <f>'Income Stmt'!B26</f>
        <v>80.570000000000007</v>
      </c>
      <c r="C23" s="23">
        <f>'Income Stmt'!C26</f>
        <v>90.238400000000013</v>
      </c>
      <c r="D23" s="23">
        <f>'Income Stmt'!D26</f>
        <v>99.26224000000002</v>
      </c>
      <c r="E23" s="23">
        <f>'Income Stmt'!E26</f>
        <v>108.19584160000002</v>
      </c>
      <c r="F23" s="23">
        <f>'Income Stmt'!F26</f>
        <v>116.85150892800003</v>
      </c>
      <c r="G23" s="23">
        <f>'Income Stmt'!G26</f>
        <v>125.03111455296005</v>
      </c>
    </row>
    <row r="24" spans="1:7" ht="15" customHeight="1" x14ac:dyDescent="0.3">
      <c r="A24" s="6" t="s">
        <v>124</v>
      </c>
      <c r="B24" s="23" t="str">
        <f>'Income Stmt'!B27</f>
        <v>0</v>
      </c>
      <c r="C24" s="23">
        <f>'Income Stmt'!C27</f>
        <v>2.7624000000000026</v>
      </c>
      <c r="D24" s="23">
        <f>'Income Stmt'!D27</f>
        <v>2.5782400000000005</v>
      </c>
      <c r="E24" s="23">
        <f>'Income Stmt'!E27</f>
        <v>2.5524576000000025</v>
      </c>
      <c r="F24" s="23">
        <f>'Income Stmt'!F27</f>
        <v>2.4730478080000013</v>
      </c>
      <c r="G24" s="23">
        <f>'Income Stmt'!G27</f>
        <v>2.3370301785600032</v>
      </c>
    </row>
    <row r="25" spans="1:7" ht="15" customHeight="1" x14ac:dyDescent="0.3">
      <c r="A25" s="21" t="s">
        <v>125</v>
      </c>
      <c r="B25" s="26">
        <f t="shared" ref="B25:G25" si="3">B21+B22-B23-B24</f>
        <v>1294.8289600000001</v>
      </c>
      <c r="C25" s="26">
        <f t="shared" si="3"/>
        <v>1310.9797920000003</v>
      </c>
      <c r="D25" s="26">
        <f t="shared" si="3"/>
        <v>1420.1332656000002</v>
      </c>
      <c r="E25" s="26">
        <f t="shared" si="3"/>
        <v>1548.2030835040005</v>
      </c>
      <c r="F25" s="26">
        <f t="shared" si="3"/>
        <v>1645.9678817120007</v>
      </c>
      <c r="G25" s="26">
        <f t="shared" si="3"/>
        <v>1733.2734556944581</v>
      </c>
    </row>
    <row r="26" spans="1:7" ht="15" customHeight="1" x14ac:dyDescent="0.3">
      <c r="A26" s="1"/>
      <c r="B26" s="1"/>
      <c r="C26" s="1"/>
      <c r="D26" s="1"/>
      <c r="E26" s="1"/>
      <c r="F26" s="1"/>
      <c r="G26" s="1"/>
    </row>
    <row r="27" spans="1:7" ht="15" customHeight="1" x14ac:dyDescent="0.3">
      <c r="A27" s="1"/>
      <c r="B27" s="1"/>
      <c r="C27" s="1"/>
      <c r="D27" s="1"/>
      <c r="E27" s="1"/>
      <c r="F27" s="1"/>
      <c r="G27" s="1"/>
    </row>
    <row r="28" spans="1:7" ht="15" customHeight="1" x14ac:dyDescent="0.3">
      <c r="A28" s="1"/>
      <c r="B28" s="1"/>
      <c r="C28" s="1"/>
      <c r="D28" s="1"/>
      <c r="E28" s="1"/>
      <c r="F28" s="1"/>
      <c r="G28" s="1"/>
    </row>
    <row r="29" spans="1:7" ht="15" customHeight="1" x14ac:dyDescent="0.3">
      <c r="A29" s="1"/>
      <c r="B29" s="1"/>
      <c r="C29" s="1"/>
      <c r="D29" s="1"/>
      <c r="E29" s="1"/>
      <c r="F29" s="1"/>
      <c r="G29" s="1"/>
    </row>
    <row r="30" spans="1:7" ht="15" customHeight="1" x14ac:dyDescent="0.3">
      <c r="A30" s="52" t="s">
        <v>127</v>
      </c>
      <c r="B30" s="52"/>
      <c r="C30" s="52"/>
      <c r="D30" s="52"/>
      <c r="E30" s="52"/>
      <c r="F30" s="52"/>
      <c r="G30" s="52"/>
    </row>
    <row r="31" spans="1:7" ht="15" customHeight="1" x14ac:dyDescent="0.3">
      <c r="A31" s="18"/>
      <c r="B31" s="7" t="s">
        <v>118</v>
      </c>
      <c r="C31" s="7" t="s">
        <v>100</v>
      </c>
      <c r="D31" s="7" t="s">
        <v>101</v>
      </c>
      <c r="E31" s="7" t="s">
        <v>102</v>
      </c>
      <c r="F31" s="7" t="s">
        <v>103</v>
      </c>
      <c r="G31" s="7" t="s">
        <v>104</v>
      </c>
    </row>
    <row r="32" spans="1:7" ht="15" customHeight="1" x14ac:dyDescent="0.3">
      <c r="A32" s="6" t="s">
        <v>119</v>
      </c>
      <c r="B32" s="23">
        <f>'Income Stmt'!B40</f>
        <v>1639.0240000000001</v>
      </c>
      <c r="C32" s="23">
        <f>'Income Stmt'!C40</f>
        <v>1860.7065999999998</v>
      </c>
      <c r="D32" s="23">
        <f>'Income Stmt'!D40</f>
        <v>2158.4196559999996</v>
      </c>
      <c r="E32" s="23">
        <f>'Income Stmt'!E40</f>
        <v>2424.6772631999997</v>
      </c>
      <c r="F32" s="23">
        <f>'Income Stmt'!F40</f>
        <v>2675.4068527872</v>
      </c>
      <c r="G32" s="23">
        <f>'Income Stmt'!G40</f>
        <v>2942.9475380659205</v>
      </c>
    </row>
    <row r="33" spans="1:7" ht="15" customHeight="1" x14ac:dyDescent="0.3">
      <c r="A33" s="6" t="s">
        <v>120</v>
      </c>
      <c r="B33" s="24">
        <f>Assumptions!$E$27</f>
        <v>0.21</v>
      </c>
      <c r="C33" s="24">
        <f>Assumptions!$E$27</f>
        <v>0.21</v>
      </c>
      <c r="D33" s="24">
        <f>Assumptions!$E$27</f>
        <v>0.21</v>
      </c>
      <c r="E33" s="24">
        <f>Assumptions!$E$27</f>
        <v>0.21</v>
      </c>
      <c r="F33" s="24">
        <f>Assumptions!$E$27</f>
        <v>0.21</v>
      </c>
      <c r="G33" s="24">
        <f>Assumptions!$E$27</f>
        <v>0.21</v>
      </c>
    </row>
    <row r="34" spans="1:7" ht="15" customHeight="1" x14ac:dyDescent="0.3">
      <c r="A34" s="21" t="s">
        <v>121</v>
      </c>
      <c r="B34" s="22">
        <f t="shared" ref="B34:G34" si="4">B32*(1-B33)</f>
        <v>1294.8289600000001</v>
      </c>
      <c r="C34" s="22">
        <f t="shared" si="4"/>
        <v>1469.9582139999998</v>
      </c>
      <c r="D34" s="22">
        <f t="shared" si="4"/>
        <v>1705.1515282399998</v>
      </c>
      <c r="E34" s="22">
        <f t="shared" si="4"/>
        <v>1915.4950379279999</v>
      </c>
      <c r="F34" s="22">
        <f t="shared" si="4"/>
        <v>2113.5714137018881</v>
      </c>
      <c r="G34" s="22">
        <f t="shared" si="4"/>
        <v>2324.9285550720774</v>
      </c>
    </row>
    <row r="35" spans="1:7" ht="15" customHeight="1" x14ac:dyDescent="0.3">
      <c r="A35" s="6" t="s">
        <v>122</v>
      </c>
      <c r="B35" s="23">
        <f>'Income Stmt'!B39</f>
        <v>80.570000000000007</v>
      </c>
      <c r="C35" s="23">
        <f>'Income Stmt'!C39</f>
        <v>95.072599999999994</v>
      </c>
      <c r="D35" s="23">
        <f>'Income Stmt'!D39</f>
        <v>110.28421599999999</v>
      </c>
      <c r="E35" s="23">
        <f>'Income Stmt'!E39</f>
        <v>125.72400624000001</v>
      </c>
      <c r="F35" s="23">
        <f>'Income Stmt'!F39</f>
        <v>140.81088698880004</v>
      </c>
      <c r="G35" s="23">
        <f>'Income Stmt'!G39</f>
        <v>154.89197568768006</v>
      </c>
    </row>
    <row r="36" spans="1:7" ht="15" customHeight="1" x14ac:dyDescent="0.3">
      <c r="A36" s="6" t="s">
        <v>123</v>
      </c>
      <c r="B36" s="23">
        <f>'Income Stmt'!B41</f>
        <v>69.06</v>
      </c>
      <c r="C36" s="23">
        <f>'Income Stmt'!C41</f>
        <v>81.490799999999993</v>
      </c>
      <c r="D36" s="23">
        <f>'Income Stmt'!D41</f>
        <v>94.529327999999978</v>
      </c>
      <c r="E36" s="23">
        <f>'Income Stmt'!E41</f>
        <v>107.76343391999998</v>
      </c>
      <c r="F36" s="23">
        <f>'Income Stmt'!F41</f>
        <v>120.6950459904</v>
      </c>
      <c r="G36" s="23">
        <f>'Income Stmt'!G41</f>
        <v>132.76455058944003</v>
      </c>
    </row>
    <row r="37" spans="1:7" ht="15" customHeight="1" x14ac:dyDescent="0.3">
      <c r="A37" s="6" t="s">
        <v>124</v>
      </c>
      <c r="B37" s="23" t="str">
        <f>'Income Stmt'!B42</f>
        <v>0</v>
      </c>
      <c r="C37" s="23">
        <f>'Income Stmt'!C42</f>
        <v>4.1435999999999966</v>
      </c>
      <c r="D37" s="23">
        <f>'Income Stmt'!D42</f>
        <v>4.3461759999999963</v>
      </c>
      <c r="E37" s="23">
        <f>'Income Stmt'!E42</f>
        <v>4.4113686400000054</v>
      </c>
      <c r="F37" s="23">
        <f>'Income Stmt'!F42</f>
        <v>4.3105373568000047</v>
      </c>
      <c r="G37" s="23">
        <f>'Income Stmt'!G42</f>
        <v>4.0231681996800077</v>
      </c>
    </row>
    <row r="38" spans="1:7" ht="15" customHeight="1" x14ac:dyDescent="0.3">
      <c r="A38" s="21" t="s">
        <v>125</v>
      </c>
      <c r="B38" s="27">
        <f t="shared" ref="B38:G38" si="5">B34+B35-B36-B37</f>
        <v>1306.33896</v>
      </c>
      <c r="C38" s="27">
        <f t="shared" si="5"/>
        <v>1479.3964139999996</v>
      </c>
      <c r="D38" s="27">
        <f t="shared" si="5"/>
        <v>1716.5602402399998</v>
      </c>
      <c r="E38" s="27">
        <f t="shared" si="5"/>
        <v>1929.044241608</v>
      </c>
      <c r="F38" s="27">
        <f t="shared" si="5"/>
        <v>2129.3767173434881</v>
      </c>
      <c r="G38" s="27">
        <f t="shared" si="5"/>
        <v>2343.0328119706369</v>
      </c>
    </row>
  </sheetData>
  <mergeCells count="5">
    <mergeCell ref="A1:G1"/>
    <mergeCell ref="A2:G2"/>
    <mergeCell ref="A4:G4"/>
    <mergeCell ref="A17:G17"/>
    <mergeCell ref="A30:G3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showGridLines="0" topLeftCell="A10" zoomScaleNormal="100" workbookViewId="0">
      <selection sqref="A1:E1"/>
    </sheetView>
  </sheetViews>
  <sheetFormatPr defaultColWidth="8.6640625" defaultRowHeight="14.4" x14ac:dyDescent="0.3"/>
  <cols>
    <col min="1" max="1" width="42" customWidth="1"/>
    <col min="2" max="2" width="4" customWidth="1"/>
    <col min="3" max="5" width="14" customWidth="1"/>
    <col min="6" max="6" width="30" customWidth="1"/>
  </cols>
  <sheetData>
    <row r="1" spans="1:5" ht="15.75" customHeight="1" x14ac:dyDescent="0.3">
      <c r="A1" s="46" t="s">
        <v>128</v>
      </c>
      <c r="B1" s="46"/>
      <c r="C1" s="46"/>
      <c r="D1" s="46"/>
      <c r="E1" s="46"/>
    </row>
    <row r="2" spans="1:5" ht="15" customHeight="1" x14ac:dyDescent="0.3">
      <c r="A2" s="47" t="s">
        <v>129</v>
      </c>
      <c r="B2" s="47"/>
      <c r="C2" s="47"/>
      <c r="D2" s="47"/>
      <c r="E2" s="47"/>
    </row>
    <row r="3" spans="1:5" ht="15" customHeight="1" x14ac:dyDescent="0.3">
      <c r="A3" s="1"/>
      <c r="B3" s="1"/>
      <c r="C3" s="7" t="s">
        <v>34</v>
      </c>
      <c r="D3" s="7" t="s">
        <v>35</v>
      </c>
      <c r="E3" s="7" t="s">
        <v>36</v>
      </c>
    </row>
    <row r="4" spans="1:5" ht="15" customHeight="1" x14ac:dyDescent="0.3">
      <c r="A4" s="1"/>
      <c r="B4" s="1"/>
      <c r="C4" s="1"/>
      <c r="D4" s="1"/>
      <c r="E4" s="1"/>
    </row>
    <row r="5" spans="1:5" ht="15" customHeight="1" x14ac:dyDescent="0.3">
      <c r="A5" s="48" t="s">
        <v>130</v>
      </c>
      <c r="B5" s="48"/>
      <c r="C5" s="48"/>
      <c r="D5" s="48"/>
      <c r="E5" s="48"/>
    </row>
    <row r="6" spans="1:5" ht="15" customHeight="1" x14ac:dyDescent="0.3">
      <c r="A6" s="6" t="s">
        <v>131</v>
      </c>
      <c r="B6" s="1"/>
      <c r="C6" s="20">
        <f>Assumptions!C33</f>
        <v>6.8500000000000005E-2</v>
      </c>
      <c r="D6" s="20">
        <f>Assumptions!D33</f>
        <v>6.8500000000000005E-2</v>
      </c>
      <c r="E6" s="20">
        <f>Assumptions!E33</f>
        <v>6.8500000000000005E-2</v>
      </c>
    </row>
    <row r="7" spans="1:5" ht="15" customHeight="1" x14ac:dyDescent="0.3">
      <c r="A7" s="6" t="s">
        <v>132</v>
      </c>
      <c r="B7" s="1"/>
      <c r="C7" s="20">
        <f>Assumptions!C34</f>
        <v>6.5000000000000002E-2</v>
      </c>
      <c r="D7" s="20">
        <f>Assumptions!D34</f>
        <v>0.06</v>
      </c>
      <c r="E7" s="20">
        <f>Assumptions!E34</f>
        <v>5.5E-2</v>
      </c>
    </row>
    <row r="8" spans="1:5" ht="15" customHeight="1" x14ac:dyDescent="0.3">
      <c r="A8" s="6" t="s">
        <v>78</v>
      </c>
      <c r="B8" s="1"/>
      <c r="C8" s="28">
        <f>Assumptions!C35</f>
        <v>1.2</v>
      </c>
      <c r="D8" s="28">
        <f>Assumptions!D35</f>
        <v>1.05</v>
      </c>
      <c r="E8" s="28">
        <f>Assumptions!E35</f>
        <v>0.9</v>
      </c>
    </row>
    <row r="9" spans="1:5" ht="15" customHeight="1" x14ac:dyDescent="0.3">
      <c r="A9" s="21" t="s">
        <v>133</v>
      </c>
      <c r="B9" s="1"/>
      <c r="C9" s="29">
        <f>C6+C8*C7</f>
        <v>0.14650000000000002</v>
      </c>
      <c r="D9" s="29">
        <f>D6+D8*D7</f>
        <v>0.13150000000000001</v>
      </c>
      <c r="E9" s="29">
        <f>E6+E8*E7</f>
        <v>0.11800000000000001</v>
      </c>
    </row>
    <row r="10" spans="1:5" ht="15" customHeight="1" x14ac:dyDescent="0.3">
      <c r="A10" s="1"/>
      <c r="B10" s="1"/>
      <c r="C10" s="1"/>
      <c r="D10" s="1"/>
      <c r="E10" s="1"/>
    </row>
    <row r="11" spans="1:5" ht="15" customHeight="1" x14ac:dyDescent="0.3">
      <c r="A11" s="48" t="s">
        <v>134</v>
      </c>
      <c r="B11" s="48"/>
      <c r="C11" s="48"/>
      <c r="D11" s="48"/>
      <c r="E11" s="48"/>
    </row>
    <row r="12" spans="1:5" ht="15" customHeight="1" x14ac:dyDescent="0.3">
      <c r="A12" s="6" t="s">
        <v>80</v>
      </c>
      <c r="B12" s="1"/>
      <c r="C12" s="20">
        <f>Assumptions!C36</f>
        <v>9.5000000000000001E-2</v>
      </c>
      <c r="D12" s="20">
        <f>Assumptions!D36</f>
        <v>0.09</v>
      </c>
      <c r="E12" s="20">
        <f>Assumptions!E36</f>
        <v>8.5000000000000006E-2</v>
      </c>
    </row>
    <row r="13" spans="1:5" ht="15" customHeight="1" x14ac:dyDescent="0.3">
      <c r="A13" s="6" t="s">
        <v>120</v>
      </c>
      <c r="B13" s="1"/>
      <c r="C13" s="20">
        <f>Assumptions!C27</f>
        <v>0.21</v>
      </c>
      <c r="D13" s="20">
        <f>Assumptions!D27</f>
        <v>0.21</v>
      </c>
      <c r="E13" s="20">
        <f>Assumptions!E27</f>
        <v>0.21</v>
      </c>
    </row>
    <row r="14" spans="1:5" ht="15" customHeight="1" x14ac:dyDescent="0.3">
      <c r="A14" s="21" t="s">
        <v>135</v>
      </c>
      <c r="B14" s="1"/>
      <c r="C14" s="29">
        <f>C12*(1-C13)</f>
        <v>7.5050000000000006E-2</v>
      </c>
      <c r="D14" s="29">
        <f>D12*(1-D13)</f>
        <v>7.1099999999999997E-2</v>
      </c>
      <c r="E14" s="29">
        <f>E12*(1-E13)</f>
        <v>6.7150000000000001E-2</v>
      </c>
    </row>
    <row r="15" spans="1:5" ht="15" customHeight="1" x14ac:dyDescent="0.3">
      <c r="A15" s="1"/>
      <c r="B15" s="1"/>
      <c r="C15" s="1"/>
      <c r="D15" s="1"/>
      <c r="E15" s="1"/>
    </row>
    <row r="16" spans="1:5" ht="15" customHeight="1" x14ac:dyDescent="0.3">
      <c r="A16" s="48" t="s">
        <v>136</v>
      </c>
      <c r="B16" s="48"/>
      <c r="C16" s="48"/>
      <c r="D16" s="48"/>
      <c r="E16" s="48"/>
    </row>
    <row r="17" spans="1:5" ht="15" customHeight="1" x14ac:dyDescent="0.3">
      <c r="A17" s="6" t="s">
        <v>137</v>
      </c>
      <c r="B17" s="1"/>
      <c r="C17" s="20">
        <f>Assumptions!C37</f>
        <v>0.01</v>
      </c>
      <c r="D17" s="20">
        <f>Assumptions!D37</f>
        <v>0.01</v>
      </c>
      <c r="E17" s="20">
        <f>Assumptions!E37</f>
        <v>0.01</v>
      </c>
    </row>
    <row r="18" spans="1:5" ht="15" customHeight="1" x14ac:dyDescent="0.3">
      <c r="A18" s="6" t="s">
        <v>138</v>
      </c>
      <c r="B18" s="1"/>
      <c r="C18" s="20">
        <f>1-C17</f>
        <v>0.99</v>
      </c>
      <c r="D18" s="20">
        <f>1-D17</f>
        <v>0.99</v>
      </c>
      <c r="E18" s="20">
        <f>1-E17</f>
        <v>0.99</v>
      </c>
    </row>
    <row r="19" spans="1:5" ht="15" customHeight="1" x14ac:dyDescent="0.3">
      <c r="A19" s="1"/>
      <c r="B19" s="1"/>
      <c r="C19" s="1"/>
      <c r="D19" s="1"/>
      <c r="E19" s="1"/>
    </row>
    <row r="20" spans="1:5" ht="15" customHeight="1" x14ac:dyDescent="0.3">
      <c r="A20" s="48" t="s">
        <v>139</v>
      </c>
      <c r="B20" s="48"/>
      <c r="C20" s="48"/>
      <c r="D20" s="48"/>
      <c r="E20" s="48"/>
    </row>
    <row r="21" spans="1:5" ht="15" customHeight="1" x14ac:dyDescent="0.3">
      <c r="A21" s="21" t="s">
        <v>140</v>
      </c>
      <c r="B21" s="1"/>
      <c r="C21" s="29">
        <f>C18*C9+C17*C14</f>
        <v>0.14578550000000001</v>
      </c>
      <c r="D21" s="29">
        <f>D18*D9+D17*D14</f>
        <v>0.13089599999999998</v>
      </c>
      <c r="E21" s="29">
        <f>E18*E9+E17*E14</f>
        <v>0.11749150000000001</v>
      </c>
    </row>
  </sheetData>
  <mergeCells count="6">
    <mergeCell ref="A20:E20"/>
    <mergeCell ref="A1:E1"/>
    <mergeCell ref="A2:E2"/>
    <mergeCell ref="A5:E5"/>
    <mergeCell ref="A11:E11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3"/>
  <sheetViews>
    <sheetView showGridLines="0" zoomScaleNormal="100" workbookViewId="0">
      <pane xSplit="2" ySplit="3" topLeftCell="C10" activePane="bottomRight" state="frozen"/>
      <selection pane="topRight" activeCell="C1" sqref="C1"/>
      <selection pane="bottomLeft" activeCell="A4" sqref="A4"/>
      <selection pane="bottomRight" sqref="A1:G1"/>
    </sheetView>
  </sheetViews>
  <sheetFormatPr defaultColWidth="8.6640625" defaultRowHeight="14.4" x14ac:dyDescent="0.3"/>
  <cols>
    <col min="1" max="1" width="44" customWidth="1"/>
    <col min="2" max="2" width="4" customWidth="1"/>
    <col min="3" max="5" width="14" customWidth="1"/>
    <col min="6" max="6" width="4" customWidth="1"/>
    <col min="7" max="7" width="32" customWidth="1"/>
  </cols>
  <sheetData>
    <row r="1" spans="1:7" ht="15.75" customHeight="1" x14ac:dyDescent="0.3">
      <c r="A1" s="46" t="s">
        <v>141</v>
      </c>
      <c r="B1" s="46"/>
      <c r="C1" s="46"/>
      <c r="D1" s="46"/>
      <c r="E1" s="46"/>
      <c r="F1" s="46"/>
      <c r="G1" s="46"/>
    </row>
    <row r="2" spans="1:7" ht="15" customHeight="1" x14ac:dyDescent="0.3">
      <c r="A2" s="47" t="s">
        <v>142</v>
      </c>
      <c r="B2" s="47"/>
      <c r="C2" s="47"/>
      <c r="D2" s="47"/>
      <c r="E2" s="47"/>
      <c r="F2" s="47"/>
      <c r="G2" s="47"/>
    </row>
    <row r="3" spans="1:7" ht="15" customHeight="1" x14ac:dyDescent="0.3">
      <c r="A3" s="1"/>
      <c r="B3" s="1"/>
      <c r="C3" s="7" t="s">
        <v>34</v>
      </c>
      <c r="D3" s="7" t="s">
        <v>35</v>
      </c>
      <c r="E3" s="7" t="s">
        <v>36</v>
      </c>
      <c r="F3" s="1"/>
      <c r="G3" s="30" t="s">
        <v>37</v>
      </c>
    </row>
    <row r="4" spans="1:7" ht="15" customHeight="1" x14ac:dyDescent="0.3">
      <c r="A4" s="1"/>
      <c r="B4" s="1"/>
      <c r="C4" s="1"/>
      <c r="D4" s="1"/>
      <c r="E4" s="1"/>
      <c r="F4" s="1"/>
      <c r="G4" s="1"/>
    </row>
    <row r="5" spans="1:7" ht="15" customHeight="1" x14ac:dyDescent="0.3">
      <c r="A5" s="48" t="s">
        <v>143</v>
      </c>
      <c r="B5" s="48"/>
      <c r="C5" s="48"/>
      <c r="D5" s="48"/>
      <c r="E5" s="48"/>
      <c r="F5" s="48"/>
      <c r="G5" s="48"/>
    </row>
    <row r="6" spans="1:7" ht="15" customHeight="1" x14ac:dyDescent="0.3">
      <c r="A6" s="21" t="s">
        <v>139</v>
      </c>
      <c r="B6" s="1"/>
      <c r="C6" s="31">
        <f>WACC!C21</f>
        <v>0.14578550000000001</v>
      </c>
      <c r="D6" s="31">
        <f>WACC!D21</f>
        <v>0.13089599999999998</v>
      </c>
      <c r="E6" s="31">
        <f>WACC!E21</f>
        <v>0.11749150000000001</v>
      </c>
      <c r="F6" s="1"/>
      <c r="G6" s="1"/>
    </row>
    <row r="7" spans="1:7" ht="15" customHeight="1" x14ac:dyDescent="0.3">
      <c r="A7" s="1"/>
      <c r="B7" s="1"/>
      <c r="C7" s="1"/>
      <c r="D7" s="1"/>
      <c r="E7" s="1"/>
      <c r="F7" s="1"/>
      <c r="G7" s="1"/>
    </row>
    <row r="8" spans="1:7" ht="15" customHeight="1" x14ac:dyDescent="0.3">
      <c r="A8" s="48" t="s">
        <v>144</v>
      </c>
      <c r="B8" s="48"/>
      <c r="C8" s="48"/>
      <c r="D8" s="48"/>
      <c r="E8" s="48"/>
      <c r="F8" s="48"/>
      <c r="G8" s="48"/>
    </row>
    <row r="9" spans="1:7" ht="15" customHeight="1" x14ac:dyDescent="0.3">
      <c r="A9" s="21" t="s">
        <v>145</v>
      </c>
      <c r="B9" s="1"/>
      <c r="C9" s="32">
        <f>NPV(C6,'FCFF Build'!C12,'FCFF Build'!D12,'FCFF Build'!E12,'FCFF Build'!F12,'FCFF Build'!G12)</f>
        <v>3977.5124664627233</v>
      </c>
      <c r="D9" s="32">
        <f>NPV(D6,'FCFF Build'!C25,'FCFF Build'!D25,'FCFF Build'!E25,'FCFF Build'!F25,'FCFF Build'!G25)</f>
        <v>5283.4230018196731</v>
      </c>
      <c r="E9" s="32">
        <f>NPV(E6,'FCFF Build'!C38,'FCFF Build'!D38,'FCFF Build'!E38,'FCFF Build'!F38,'FCFF Build'!G38)</f>
        <v>6790.6976927426958</v>
      </c>
      <c r="F9" s="1"/>
      <c r="G9" s="10" t="s">
        <v>146</v>
      </c>
    </row>
    <row r="10" spans="1:7" ht="15" customHeight="1" x14ac:dyDescent="0.3">
      <c r="A10" s="1"/>
      <c r="B10" s="1"/>
      <c r="C10" s="1"/>
      <c r="D10" s="1"/>
      <c r="E10" s="1"/>
      <c r="F10" s="1"/>
      <c r="G10" s="1"/>
    </row>
    <row r="11" spans="1:7" ht="15" customHeight="1" x14ac:dyDescent="0.3">
      <c r="A11" s="48" t="s">
        <v>147</v>
      </c>
      <c r="B11" s="48"/>
      <c r="C11" s="48"/>
      <c r="D11" s="48"/>
      <c r="E11" s="48"/>
      <c r="F11" s="48"/>
      <c r="G11" s="48"/>
    </row>
    <row r="12" spans="1:7" ht="15" customHeight="1" x14ac:dyDescent="0.3">
      <c r="A12" s="6" t="s">
        <v>148</v>
      </c>
      <c r="B12" s="1"/>
      <c r="C12" s="23">
        <f>'FCFF Build'!G12</f>
        <v>1171.84216555224</v>
      </c>
      <c r="D12" s="23">
        <f>'FCFF Build'!G25</f>
        <v>1733.2734556944581</v>
      </c>
      <c r="E12" s="23">
        <f>'FCFF Build'!G38</f>
        <v>2343.0328119706369</v>
      </c>
      <c r="F12" s="1"/>
      <c r="G12" s="10" t="s">
        <v>149</v>
      </c>
    </row>
    <row r="13" spans="1:7" ht="15" customHeight="1" x14ac:dyDescent="0.3">
      <c r="A13" s="6" t="s">
        <v>85</v>
      </c>
      <c r="B13" s="1"/>
      <c r="C13" s="20">
        <f>Assumptions!C40</f>
        <v>0.04</v>
      </c>
      <c r="D13" s="20">
        <f>Assumptions!D40</f>
        <v>0.05</v>
      </c>
      <c r="E13" s="20">
        <f>Assumptions!E40</f>
        <v>5.5E-2</v>
      </c>
      <c r="F13" s="1"/>
      <c r="G13" s="10" t="s">
        <v>150</v>
      </c>
    </row>
    <row r="14" spans="1:7" ht="15" customHeight="1" x14ac:dyDescent="0.3">
      <c r="A14" s="6" t="s">
        <v>151</v>
      </c>
      <c r="B14" s="1"/>
      <c r="C14" s="19">
        <f>C12*(1+C13)</f>
        <v>1218.7158521743297</v>
      </c>
      <c r="D14" s="19">
        <f>D12*(1+D13)</f>
        <v>1819.9371284791812</v>
      </c>
      <c r="E14" s="19">
        <f>E12*(1+E13)</f>
        <v>2471.8996166290217</v>
      </c>
      <c r="F14" s="1"/>
      <c r="G14" s="1"/>
    </row>
    <row r="15" spans="1:7" ht="15" customHeight="1" x14ac:dyDescent="0.3">
      <c r="A15" s="6" t="s">
        <v>152</v>
      </c>
      <c r="B15" s="1"/>
      <c r="C15" s="19">
        <f>C14/(C6-C13)</f>
        <v>11520.632337837696</v>
      </c>
      <c r="D15" s="19">
        <f>D14/(D6-D13)</f>
        <v>22497.244962410768</v>
      </c>
      <c r="E15" s="19">
        <f>E14/(E6-E13)</f>
        <v>39555.773451253706</v>
      </c>
      <c r="F15" s="1"/>
      <c r="G15" s="10" t="s">
        <v>153</v>
      </c>
    </row>
    <row r="16" spans="1:7" ht="15" customHeight="1" x14ac:dyDescent="0.3">
      <c r="A16" s="6" t="s">
        <v>154</v>
      </c>
      <c r="B16" s="1"/>
      <c r="C16" s="19">
        <f>C15/(1+C6)^5</f>
        <v>5833.9097648182042</v>
      </c>
      <c r="D16" s="19">
        <f>D15/(1+D6)^5</f>
        <v>12162.308000291632</v>
      </c>
      <c r="E16" s="19">
        <f>E15/(1+E6)^5</f>
        <v>22698.059949070219</v>
      </c>
      <c r="F16" s="1"/>
      <c r="G16" s="10" t="s">
        <v>155</v>
      </c>
    </row>
    <row r="17" spans="1:7" ht="15" customHeight="1" x14ac:dyDescent="0.3">
      <c r="A17" s="21" t="s">
        <v>156</v>
      </c>
      <c r="B17" s="1"/>
      <c r="C17" s="22">
        <f>C9+C16</f>
        <v>9811.422231280927</v>
      </c>
      <c r="D17" s="22">
        <f>D9+D16</f>
        <v>17445.731002111304</v>
      </c>
      <c r="E17" s="22">
        <f>E9+E16</f>
        <v>29488.757641812914</v>
      </c>
      <c r="F17" s="1"/>
      <c r="G17" s="10" t="s">
        <v>157</v>
      </c>
    </row>
    <row r="18" spans="1:7" ht="15" customHeight="1" x14ac:dyDescent="0.3">
      <c r="A18" s="1"/>
      <c r="B18" s="1"/>
      <c r="C18" s="1"/>
      <c r="D18" s="1"/>
      <c r="E18" s="1"/>
      <c r="F18" s="1"/>
      <c r="G18" s="1"/>
    </row>
    <row r="19" spans="1:7" ht="15" customHeight="1" x14ac:dyDescent="0.3">
      <c r="A19" s="48" t="s">
        <v>158</v>
      </c>
      <c r="B19" s="48"/>
      <c r="C19" s="48"/>
      <c r="D19" s="48"/>
      <c r="E19" s="48"/>
      <c r="F19" s="48"/>
      <c r="G19" s="48"/>
    </row>
    <row r="20" spans="1:7" ht="15" customHeight="1" x14ac:dyDescent="0.3">
      <c r="A20" s="6" t="s">
        <v>159</v>
      </c>
      <c r="B20" s="1"/>
      <c r="C20" s="23">
        <f>'Income Stmt'!G8</f>
        <v>1583.3460674303999</v>
      </c>
      <c r="D20" s="23">
        <f>'Income Stmt'!G23</f>
        <v>2322.0064131264007</v>
      </c>
      <c r="E20" s="23">
        <f>'Income Stmt'!G38</f>
        <v>3097.8395137536004</v>
      </c>
      <c r="F20" s="1"/>
      <c r="G20" s="1"/>
    </row>
    <row r="21" spans="1:7" ht="15" customHeight="1" x14ac:dyDescent="0.3">
      <c r="A21" s="6" t="s">
        <v>160</v>
      </c>
      <c r="B21" s="1"/>
      <c r="C21" s="33">
        <f>Assumptions!C41</f>
        <v>30</v>
      </c>
      <c r="D21" s="33">
        <f>Assumptions!D41</f>
        <v>35</v>
      </c>
      <c r="E21" s="33">
        <f>Assumptions!E41</f>
        <v>40</v>
      </c>
      <c r="F21" s="1"/>
      <c r="G21" s="1"/>
    </row>
    <row r="22" spans="1:7" ht="15" customHeight="1" x14ac:dyDescent="0.3">
      <c r="A22" s="6" t="s">
        <v>161</v>
      </c>
      <c r="B22" s="1"/>
      <c r="C22" s="19">
        <f>C20*C21</f>
        <v>47500.382022911996</v>
      </c>
      <c r="D22" s="19">
        <f>D20*D21</f>
        <v>81270.224459424033</v>
      </c>
      <c r="E22" s="19">
        <f>E20*E21</f>
        <v>123913.58055014402</v>
      </c>
      <c r="F22" s="1"/>
      <c r="G22" s="1"/>
    </row>
    <row r="23" spans="1:7" ht="15" customHeight="1" x14ac:dyDescent="0.3">
      <c r="A23" s="6" t="s">
        <v>154</v>
      </c>
      <c r="B23" s="1"/>
      <c r="C23" s="19">
        <f>C22/(1+C6)^5</f>
        <v>24053.622612877567</v>
      </c>
      <c r="D23" s="19">
        <f>D22/(1+D6)^5</f>
        <v>43935.757590756599</v>
      </c>
      <c r="E23" s="19">
        <f>E22/(1+E6)^5</f>
        <v>71104.610893203659</v>
      </c>
      <c r="F23" s="1"/>
      <c r="G23" s="1"/>
    </row>
    <row r="24" spans="1:7" ht="15" customHeight="1" x14ac:dyDescent="0.3">
      <c r="A24" s="21" t="s">
        <v>162</v>
      </c>
      <c r="B24" s="1"/>
      <c r="C24" s="22">
        <f>C9+C23</f>
        <v>28031.135079340289</v>
      </c>
      <c r="D24" s="22">
        <f>D9+D23</f>
        <v>49219.180592576275</v>
      </c>
      <c r="E24" s="22">
        <f>E9+E23</f>
        <v>77895.308585946361</v>
      </c>
      <c r="F24" s="1"/>
      <c r="G24" s="1"/>
    </row>
    <row r="25" spans="1:7" ht="15" customHeight="1" x14ac:dyDescent="0.3">
      <c r="A25" s="1"/>
      <c r="B25" s="1"/>
      <c r="C25" s="1"/>
      <c r="D25" s="1"/>
      <c r="E25" s="1"/>
      <c r="F25" s="1"/>
      <c r="G25" s="1"/>
    </row>
    <row r="26" spans="1:7" ht="15" customHeight="1" x14ac:dyDescent="0.3">
      <c r="A26" s="48" t="s">
        <v>163</v>
      </c>
      <c r="B26" s="48"/>
      <c r="C26" s="48"/>
      <c r="D26" s="48"/>
      <c r="E26" s="48"/>
      <c r="F26" s="48"/>
      <c r="G26" s="48"/>
    </row>
    <row r="27" spans="1:7" ht="15" customHeight="1" x14ac:dyDescent="0.3">
      <c r="A27" s="21" t="s">
        <v>164</v>
      </c>
      <c r="B27" s="1"/>
      <c r="C27" s="22">
        <f>AVERAGE(C17,C24)</f>
        <v>18921.278655310609</v>
      </c>
      <c r="D27" s="22">
        <f>AVERAGE(D17,D24)</f>
        <v>33332.455797343791</v>
      </c>
      <c r="E27" s="22">
        <f>AVERAGE(E17,E24)</f>
        <v>53692.033113879639</v>
      </c>
      <c r="F27" s="1"/>
      <c r="G27" s="1"/>
    </row>
    <row r="28" spans="1:7" ht="15" customHeight="1" x14ac:dyDescent="0.3">
      <c r="A28" s="6" t="s">
        <v>165</v>
      </c>
      <c r="B28" s="1"/>
      <c r="C28" s="23">
        <f>Assumptions!C28</f>
        <v>2944</v>
      </c>
      <c r="D28" s="23">
        <f>Assumptions!D28</f>
        <v>2944</v>
      </c>
      <c r="E28" s="23">
        <f>Assumptions!E28</f>
        <v>2944</v>
      </c>
      <c r="F28" s="1"/>
      <c r="G28" s="1"/>
    </row>
    <row r="29" spans="1:7" ht="15" customHeight="1" x14ac:dyDescent="0.3">
      <c r="A29" s="21" t="s">
        <v>166</v>
      </c>
      <c r="B29" s="1"/>
      <c r="C29" s="22">
        <f>C27+C28</f>
        <v>21865.278655310609</v>
      </c>
      <c r="D29" s="22">
        <f>D27+D28</f>
        <v>36276.455797343791</v>
      </c>
      <c r="E29" s="22">
        <f>E27+E28</f>
        <v>56636.033113879639</v>
      </c>
      <c r="F29" s="1"/>
      <c r="G29" s="1"/>
    </row>
    <row r="30" spans="1:7" ht="15" customHeight="1" x14ac:dyDescent="0.3">
      <c r="A30" s="6" t="s">
        <v>69</v>
      </c>
      <c r="B30" s="1"/>
      <c r="C30" s="23">
        <f>Assumptions!C29</f>
        <v>25.5</v>
      </c>
      <c r="D30" s="23">
        <f>Assumptions!D29</f>
        <v>25.5</v>
      </c>
      <c r="E30" s="23">
        <f>Assumptions!E29</f>
        <v>25.5</v>
      </c>
      <c r="F30" s="1"/>
      <c r="G30" s="1"/>
    </row>
    <row r="31" spans="1:7" ht="15" customHeight="1" x14ac:dyDescent="0.3">
      <c r="A31" s="21" t="s">
        <v>167</v>
      </c>
      <c r="B31" s="1"/>
      <c r="C31" s="34">
        <f>C29/C30</f>
        <v>857.46190805139645</v>
      </c>
      <c r="D31" s="34">
        <f>D29/D30</f>
        <v>1422.6061096997564</v>
      </c>
      <c r="E31" s="34">
        <f>E29/E30</f>
        <v>2221.0209064266523</v>
      </c>
      <c r="F31" s="1"/>
      <c r="G31" s="1"/>
    </row>
    <row r="32" spans="1:7" ht="15" customHeight="1" x14ac:dyDescent="0.3">
      <c r="A32" s="6" t="s">
        <v>168</v>
      </c>
      <c r="B32" s="1"/>
      <c r="C32" s="35">
        <f>Assumptions!C30</f>
        <v>2885</v>
      </c>
      <c r="D32" s="35">
        <f>Assumptions!D30</f>
        <v>2885</v>
      </c>
      <c r="E32" s="35">
        <f>Assumptions!E30</f>
        <v>2885</v>
      </c>
      <c r="F32" s="1"/>
      <c r="G32" s="1"/>
    </row>
    <row r="33" spans="1:7" ht="15" customHeight="1" x14ac:dyDescent="0.3">
      <c r="A33" s="21" t="s">
        <v>169</v>
      </c>
      <c r="B33" s="1"/>
      <c r="C33" s="29">
        <f>C31/C32-1</f>
        <v>-0.70278616705324215</v>
      </c>
      <c r="D33" s="29">
        <f>D31/D32-1</f>
        <v>-0.50689562922018849</v>
      </c>
      <c r="E33" s="29">
        <f>E31/E32-1</f>
        <v>-0.23014873260774615</v>
      </c>
      <c r="F33" s="1"/>
      <c r="G33" s="1"/>
    </row>
  </sheetData>
  <mergeCells count="7">
    <mergeCell ref="A19:G19"/>
    <mergeCell ref="A26:G26"/>
    <mergeCell ref="A1:G1"/>
    <mergeCell ref="A2:G2"/>
    <mergeCell ref="A5:G5"/>
    <mergeCell ref="A8:G8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showGridLines="0" zoomScaleNormal="100" workbookViewId="0">
      <pane xSplit="1" ySplit="4" topLeftCell="B23" activePane="bottomRight" state="frozen"/>
      <selection pane="topRight" activeCell="B1" sqref="B1"/>
      <selection pane="bottomLeft" activeCell="A5" sqref="A5"/>
      <selection pane="bottomRight" sqref="A1:H1"/>
    </sheetView>
  </sheetViews>
  <sheetFormatPr defaultColWidth="8.6640625" defaultRowHeight="14.4" x14ac:dyDescent="0.3"/>
  <cols>
    <col min="1" max="1" width="22" customWidth="1"/>
    <col min="2" max="8" width="12" customWidth="1"/>
  </cols>
  <sheetData>
    <row r="1" spans="1:8" ht="15.75" customHeight="1" x14ac:dyDescent="0.3">
      <c r="A1" s="46" t="s">
        <v>170</v>
      </c>
      <c r="B1" s="46"/>
      <c r="C1" s="46"/>
      <c r="D1" s="46"/>
      <c r="E1" s="46"/>
      <c r="F1" s="46"/>
      <c r="G1" s="46"/>
      <c r="H1" s="46"/>
    </row>
    <row r="2" spans="1:8" ht="15" customHeight="1" x14ac:dyDescent="0.3">
      <c r="A2" s="47" t="s">
        <v>171</v>
      </c>
      <c r="B2" s="47"/>
      <c r="C2" s="47"/>
      <c r="D2" s="47"/>
      <c r="E2" s="47"/>
      <c r="F2" s="47"/>
      <c r="G2" s="47"/>
      <c r="H2" s="47"/>
    </row>
    <row r="3" spans="1:8" ht="15" customHeight="1" x14ac:dyDescent="0.3">
      <c r="A3" s="1"/>
      <c r="B3" s="1"/>
      <c r="C3" s="1"/>
      <c r="D3" s="1"/>
      <c r="E3" s="1"/>
      <c r="F3" s="1"/>
      <c r="G3" s="1"/>
      <c r="H3" s="1"/>
    </row>
    <row r="4" spans="1:8" ht="15" customHeight="1" x14ac:dyDescent="0.3">
      <c r="A4" s="48" t="s">
        <v>172</v>
      </c>
      <c r="B4" s="48"/>
      <c r="C4" s="48"/>
      <c r="D4" s="48"/>
      <c r="E4" s="48"/>
      <c r="F4" s="48"/>
      <c r="G4" s="48"/>
      <c r="H4" s="48"/>
    </row>
    <row r="5" spans="1:8" ht="15" customHeight="1" x14ac:dyDescent="0.3">
      <c r="A5" s="18" t="s">
        <v>173</v>
      </c>
      <c r="B5" s="36">
        <v>2.5000000000000001E-2</v>
      </c>
      <c r="C5" s="36">
        <v>0.03</v>
      </c>
      <c r="D5" s="36">
        <v>3.5000000000000003E-2</v>
      </c>
      <c r="E5" s="36">
        <v>0.04</v>
      </c>
      <c r="F5" s="36">
        <v>4.4999999999999998E-2</v>
      </c>
      <c r="G5" s="36">
        <v>0.05</v>
      </c>
      <c r="H5" s="36">
        <v>5.5E-2</v>
      </c>
    </row>
    <row r="6" spans="1:8" ht="15" customHeight="1" x14ac:dyDescent="0.3">
      <c r="A6" s="37">
        <v>8.5000000000000006E-2</v>
      </c>
      <c r="B6" s="38">
        <f>(NPV($A6,'FCFF Build'!C25,'FCFF Build'!D25,'FCFF Build'!E25,'FCFF Build'!F25,'FCFF Build'!G25)+('FCFF Build'!G25*(1+B5)/($A6-B5))/(1+$A6)^5+Assumptions!D28)/Assumptions!D29</f>
        <v>1121.6927084404992</v>
      </c>
      <c r="C6" s="38">
        <f>(NPV($A6,'FCFF Build'!C25,'FCFF Build'!D25,'FCFF Build'!E25,'FCFF Build'!F25,'FCFF Build'!G25)+('FCFF Build'!G25*(1+C5)/($A6-C5))/(1+$A6)^5+Assumptions!D28)/Assumptions!D29</f>
        <v>1196.0055755369565</v>
      </c>
      <c r="D6" s="38">
        <f>(NPV($A6,'FCFF Build'!C25,'FCFF Build'!D25,'FCFF Build'!E25,'FCFF Build'!F25,'FCFF Build'!G25)+('FCFF Build'!G25*(1+D5)/($A6-D5))/(1+$A6)^5+Assumptions!D28)/Assumptions!D29</f>
        <v>1285.1810160527048</v>
      </c>
      <c r="E6" s="38">
        <f>(NPV($A6,'FCFF Build'!C25,'FCFF Build'!D25,'FCFF Build'!E25,'FCFF Build'!F25,'FCFF Build'!G25)+('FCFF Build'!G25*(1+E5)/($A6-E5))/(1+$A6)^5+Assumptions!D28)/Assumptions!D29</f>
        <v>1394.1732211275084</v>
      </c>
      <c r="F6" s="38">
        <f>(NPV($A6,'FCFF Build'!C25,'FCFF Build'!D25,'FCFF Build'!E25,'FCFF Build'!F25,'FCFF Build'!G25)+('FCFF Build'!G25*(1+F5)/($A6-F5))/(1+$A6)^5+Assumptions!D28)/Assumptions!D29</f>
        <v>1530.4134774710128</v>
      </c>
      <c r="G6" s="38">
        <f>(NPV($A6,'FCFF Build'!C25,'FCFF Build'!D25,'FCFF Build'!E25,'FCFF Build'!F25,'FCFF Build'!G25)+('FCFF Build'!G25*(1+G5)/($A6-G5))/(1+$A6)^5+Assumptions!D28)/Assumptions!D29</f>
        <v>1705.5795213412327</v>
      </c>
      <c r="H6" s="38">
        <f>(NPV($A6,'FCFF Build'!C25,'FCFF Build'!D25,'FCFF Build'!E25,'FCFF Build'!F25,'FCFF Build'!G25)+('FCFF Build'!G25*(1+H5)/($A6-H5))/(1+$A6)^5+Assumptions!D28)/Assumptions!D29</f>
        <v>1939.1342465015257</v>
      </c>
    </row>
    <row r="7" spans="1:8" ht="15" customHeight="1" x14ac:dyDescent="0.3">
      <c r="A7" s="37">
        <v>0.09</v>
      </c>
      <c r="B7" s="38">
        <f>(NPV($A7,'FCFF Build'!C25,'FCFF Build'!D25,'FCFF Build'!E25,'FCFF Build'!F25,'FCFF Build'!G25)+('FCFF Build'!G25*(1+B5)/($A7-B5))/(1+$A7)^5+Assumptions!D28)/Assumptions!D29</f>
        <v>1042.9121515606271</v>
      </c>
      <c r="C7" s="38">
        <f>(NPV($A7,'FCFF Build'!C25,'FCFF Build'!D25,'FCFF Build'!E25,'FCFF Build'!F25,'FCFF Build'!G25)+('FCFF Build'!G25*(1+C5)/($A7-C5))/(1+$A7)^5+Assumptions!D28)/Assumptions!D29</f>
        <v>1104.6464207252352</v>
      </c>
      <c r="D7" s="38">
        <f>(NPV($A7,'FCFF Build'!C25,'FCFF Build'!D25,'FCFF Build'!E25,'FCFF Build'!F25,'FCFF Build'!G25)+('FCFF Build'!G25*(1+D5)/($A7-D5))/(1+$A7)^5+Assumptions!D28)/Assumptions!D29</f>
        <v>1177.6051024652261</v>
      </c>
      <c r="E7" s="38">
        <f>(NPV($A7,'FCFF Build'!C25,'FCFF Build'!D25,'FCFF Build'!E25,'FCFF Build'!F25,'FCFF Build'!G25)+('FCFF Build'!G25*(1+E5)/($A7-E5))/(1+$A7)^5+Assumptions!D28)/Assumptions!D29</f>
        <v>1265.1555205532152</v>
      </c>
      <c r="F7" s="38">
        <f>(NPV($A7,'FCFF Build'!C25,'FCFF Build'!D25,'FCFF Build'!E25,'FCFF Build'!F25,'FCFF Build'!G25)+('FCFF Build'!G25*(1+F5)/($A7-F5))/(1+$A7)^5+Assumptions!D28)/Assumptions!D29</f>
        <v>1372.161587105202</v>
      </c>
      <c r="G7" s="38">
        <f>(NPV($A7,'FCFF Build'!C25,'FCFF Build'!D25,'FCFF Build'!E25,'FCFF Build'!F25,'FCFF Build'!G25)+('FCFF Build'!G25*(1+G5)/($A7-G5))/(1+$A7)^5+Assumptions!D28)/Assumptions!D29</f>
        <v>1505.9191702951859</v>
      </c>
      <c r="H7" s="38">
        <f>(NPV($A7,'FCFF Build'!C25,'FCFF Build'!D25,'FCFF Build'!E25,'FCFF Build'!F25,'FCFF Build'!G25)+('FCFF Build'!G25*(1+H5)/($A7-H5))/(1+$A7)^5+Assumptions!D28)/Assumptions!D29</f>
        <v>1677.8932058251644</v>
      </c>
    </row>
    <row r="8" spans="1:8" ht="15" customHeight="1" x14ac:dyDescent="0.3">
      <c r="A8" s="37">
        <v>9.5000000000000001E-2</v>
      </c>
      <c r="B8" s="38">
        <f>(NPV($A8,'FCFF Build'!C25,'FCFF Build'!D25,'FCFF Build'!E25,'FCFF Build'!F25,'FCFF Build'!G25)+('FCFF Build'!G25*(1+B5)/($A8-B5))/(1+$A8)^5+Assumptions!D28)/Assumptions!D29</f>
        <v>975.40728410625763</v>
      </c>
      <c r="C8" s="38">
        <f>(NPV($A8,'FCFF Build'!C25,'FCFF Build'!D25,'FCFF Build'!E25,'FCFF Build'!F25,'FCFF Build'!G25)+('FCFF Build'!G25*(1+C5)/($A8-C5))/(1+$A8)^5+Assumptions!D28)/Assumptions!D29</f>
        <v>1027.3624859747611</v>
      </c>
      <c r="D8" s="38">
        <f>(NPV($A8,'FCFF Build'!C25,'FCFF Build'!D25,'FCFF Build'!E25,'FCFF Build'!F25,'FCFF Build'!G25)+('FCFF Build'!G25*(1+D5)/($A8-D5))/(1+$A8)^5+Assumptions!D28)/Assumptions!D29</f>
        <v>1087.9768881546813</v>
      </c>
      <c r="E8" s="38">
        <f>(NPV($A8,'FCFF Build'!C25,'FCFF Build'!D25,'FCFF Build'!E25,'FCFF Build'!F25,'FCFF Build'!G25)+('FCFF Build'!G25*(1+E5)/($A8-E5))/(1+$A8)^5+Assumptions!D28)/Assumptions!D29</f>
        <v>1159.612090730951</v>
      </c>
      <c r="F8" s="38">
        <f>(NPV($A8,'FCFF Build'!C25,'FCFF Build'!D25,'FCFF Build'!E25,'FCFF Build'!F25,'FCFF Build'!G25)+('FCFF Build'!G25*(1+F5)/($A8-F5))/(1+$A8)^5+Assumptions!D28)/Assumptions!D29</f>
        <v>1245.5743338224743</v>
      </c>
      <c r="G8" s="38">
        <f>(NPV($A8,'FCFF Build'!C25,'FCFF Build'!D25,'FCFF Build'!E25,'FCFF Build'!F25,'FCFF Build'!G25)+('FCFF Build'!G25*(1+G5)/($A8-G5))/(1+$A8)^5+Assumptions!D28)/Assumptions!D29</f>
        <v>1350.6392976010034</v>
      </c>
      <c r="H8" s="38">
        <f>(NPV($A8,'FCFF Build'!C25,'FCFF Build'!D25,'FCFF Build'!E25,'FCFF Build'!F25,'FCFF Build'!G25)+('FCFF Build'!G25*(1+H5)/($A8-H5))/(1+$A8)^5+Assumptions!D28)/Assumptions!D29</f>
        <v>1481.9705023241638</v>
      </c>
    </row>
    <row r="9" spans="1:8" ht="15" customHeight="1" x14ac:dyDescent="0.3">
      <c r="A9" s="37">
        <v>0.1</v>
      </c>
      <c r="B9" s="38">
        <f>(NPV($A9,'FCFF Build'!C25,'FCFF Build'!D25,'FCFF Build'!E25,'FCFF Build'!F25,'FCFF Build'!G25)+('FCFF Build'!G25*(1+B5)/($A9-B5))/(1+$A9)^5+Assumptions!D28)/Assumptions!D29</f>
        <v>916.92252272190672</v>
      </c>
      <c r="C9" s="38">
        <f>(NPV($A9,'FCFF Build'!C25,'FCFF Build'!D25,'FCFF Build'!E25,'FCFF Build'!F25,'FCFF Build'!G25)+('FCFF Build'!G25*(1+C5)/($A9-C5))/(1+$A9)^5+Assumptions!D28)/Assumptions!D29</f>
        <v>961.13724137984991</v>
      </c>
      <c r="D9" s="38">
        <f>(NPV($A9,'FCFF Build'!C25,'FCFF Build'!D25,'FCFF Build'!E25,'FCFF Build'!F25,'FCFF Build'!G25)+('FCFF Build'!G25*(1+D5)/($A9-D5))/(1+$A9)^5+Assumptions!D28)/Assumptions!D29</f>
        <v>1012.1542244467075</v>
      </c>
      <c r="E9" s="38">
        <f>(NPV($A9,'FCFF Build'!C25,'FCFF Build'!D25,'FCFF Build'!E25,'FCFF Build'!F25,'FCFF Build'!G25)+('FCFF Build'!G25*(1+E5)/($A9-E5))/(1+$A9)^5+Assumptions!D28)/Assumptions!D29</f>
        <v>1071.6740380247079</v>
      </c>
      <c r="F9" s="38">
        <f>(NPV($A9,'FCFF Build'!C25,'FCFF Build'!D25,'FCFF Build'!E25,'FCFF Build'!F25,'FCFF Build'!G25)+('FCFF Build'!G25*(1+F5)/($A9-F5))/(1+$A9)^5+Assumptions!D28)/Assumptions!D29</f>
        <v>1142.0156358896174</v>
      </c>
      <c r="G9" s="38">
        <f>(NPV($A9,'FCFF Build'!C25,'FCFF Build'!D25,'FCFF Build'!E25,'FCFF Build'!F25,'FCFF Build'!G25)+('FCFF Build'!G25*(1+G5)/($A9-G5))/(1+$A9)^5+Assumptions!D28)/Assumptions!D29</f>
        <v>1226.4255533275091</v>
      </c>
      <c r="H9" s="38">
        <f>(NPV($A9,'FCFF Build'!C25,'FCFF Build'!D25,'FCFF Build'!E25,'FCFF Build'!F25,'FCFF Build'!G25)+('FCFF Build'!G25*(1+H5)/($A9-H5))/(1+$A9)^5+Assumptions!D28)/Assumptions!D29</f>
        <v>1329.5932301960431</v>
      </c>
    </row>
    <row r="10" spans="1:8" ht="15" customHeight="1" x14ac:dyDescent="0.3">
      <c r="A10" s="37">
        <v>0.105</v>
      </c>
      <c r="B10" s="38">
        <f>(NPV($A10,'FCFF Build'!C25,'FCFF Build'!D25,'FCFF Build'!E25,'FCFF Build'!F25,'FCFF Build'!G25)+('FCFF Build'!G25*(1+B5)/($A10-B5))/(1+$A10)^5+Assumptions!D28)/Assumptions!D29</f>
        <v>865.76619142247807</v>
      </c>
      <c r="C10" s="38">
        <f>(NPV($A10,'FCFF Build'!C25,'FCFF Build'!D25,'FCFF Build'!E25,'FCFF Build'!F25,'FCFF Build'!G25)+('FCFF Build'!G25*(1+C5)/($A10-C5))/(1+$A10)^5+Assumptions!D28)/Assumptions!D29</f>
        <v>903.75857553983997</v>
      </c>
      <c r="D10" s="38">
        <f>(NPV($A10,'FCFF Build'!C25,'FCFF Build'!D25,'FCFF Build'!E25,'FCFF Build'!F25,'FCFF Build'!G25)+('FCFF Build'!G25*(1+D5)/($A10-D5))/(1+$A10)^5+Assumptions!D28)/Assumptions!D29</f>
        <v>947.17844310253952</v>
      </c>
      <c r="E10" s="38">
        <f>(NPV($A10,'FCFF Build'!C25,'FCFF Build'!D25,'FCFF Build'!E25,'FCFF Build'!F25,'FCFF Build'!G25)+('FCFF Build'!G25*(1+E5)/($A10-E5))/(1+$A10)^5+Assumptions!D28)/Assumptions!D29</f>
        <v>997.27829029026975</v>
      </c>
      <c r="F10" s="38">
        <f>(NPV($A10,'FCFF Build'!C25,'FCFF Build'!D25,'FCFF Build'!E25,'FCFF Build'!F25,'FCFF Build'!G25)+('FCFF Build'!G25*(1+F5)/($A10-F5))/(1+$A10)^5+Assumptions!D28)/Assumptions!D29</f>
        <v>1055.7281120092882</v>
      </c>
      <c r="G10" s="38">
        <f>(NPV($A10,'FCFF Build'!C25,'FCFF Build'!D25,'FCFF Build'!E25,'FCFF Build'!F25,'FCFF Build'!G25)+('FCFF Build'!G25*(1+G5)/($A10-G5))/(1+$A10)^5+Assumptions!D28)/Assumptions!D29</f>
        <v>1124.8051740408557</v>
      </c>
      <c r="H10" s="38">
        <f>(NPV($A10,'FCFF Build'!C25,'FCFF Build'!D25,'FCFF Build'!E25,'FCFF Build'!F25,'FCFF Build'!G25)+('FCFF Build'!G25*(1+H5)/($A10-H5))/(1+$A10)^5+Assumptions!D28)/Assumptions!D29</f>
        <v>1207.6976484787367</v>
      </c>
    </row>
    <row r="11" spans="1:8" ht="15" customHeight="1" x14ac:dyDescent="0.3">
      <c r="A11" s="37">
        <v>0.11</v>
      </c>
      <c r="B11" s="38">
        <f>(NPV($A11,'FCFF Build'!C25,'FCFF Build'!D25,'FCFF Build'!E25,'FCFF Build'!F25,'FCFF Build'!G25)+('FCFF Build'!G25*(1+B5)/($A11-B5))/(1+$A11)^5+Assumptions!D28)/Assumptions!D29</f>
        <v>820.64466613102172</v>
      </c>
      <c r="C11" s="38">
        <f>(NPV($A11,'FCFF Build'!C25,'FCFF Build'!D25,'FCFF Build'!E25,'FCFF Build'!F25,'FCFF Build'!G25)+('FCFF Build'!G25*(1+C5)/($A11-C5))/(1+$A11)^5+Assumptions!D28)/Assumptions!D29</f>
        <v>853.56741445654882</v>
      </c>
      <c r="D11" s="38">
        <f>(NPV($A11,'FCFF Build'!C25,'FCFF Build'!D25,'FCFF Build'!E25,'FCFF Build'!F25,'FCFF Build'!G25)+('FCFF Build'!G25*(1+D5)/($A11-D5))/(1+$A11)^5+Assumptions!D28)/Assumptions!D29</f>
        <v>890.87986255881287</v>
      </c>
      <c r="E11" s="38">
        <f>(NPV($A11,'FCFF Build'!C25,'FCFF Build'!D25,'FCFF Build'!E25,'FCFF Build'!F25,'FCFF Build'!G25)+('FCFF Build'!G25*(1+E5)/($A11-E5))/(1+$A11)^5+Assumptions!D28)/Assumptions!D29</f>
        <v>933.52266038997186</v>
      </c>
      <c r="F11" s="38">
        <f>(NPV($A11,'FCFF Build'!C25,'FCFF Build'!D25,'FCFF Build'!E25,'FCFF Build'!F25,'FCFF Build'!G25)+('FCFF Build'!G25*(1+F5)/($A11-F5))/(1+$A11)^5+Assumptions!D28)/Assumptions!D29</f>
        <v>982.72588865669366</v>
      </c>
      <c r="G11" s="38">
        <f>(NPV($A11,'FCFF Build'!C25,'FCFF Build'!D25,'FCFF Build'!E25,'FCFF Build'!F25,'FCFF Build'!G25)+('FCFF Build'!G25*(1+G5)/($A11-G5))/(1+$A11)^5+Assumptions!D28)/Assumptions!D29</f>
        <v>1040.1296549678693</v>
      </c>
      <c r="H11" s="38">
        <f>(NPV($A11,'FCFF Build'!C25,'FCFF Build'!D25,'FCFF Build'!E25,'FCFF Build'!F25,'FCFF Build'!G25)+('FCFF Build'!G25*(1+H5)/($A11-H5))/(1+$A11)^5+Assumptions!D28)/Assumptions!D29</f>
        <v>1107.9704696992587</v>
      </c>
    </row>
    <row r="12" spans="1:8" ht="15" customHeight="1" x14ac:dyDescent="0.3">
      <c r="A12" s="37">
        <v>0.115</v>
      </c>
      <c r="B12" s="38">
        <f>(NPV($A12,'FCFF Build'!C25,'FCFF Build'!D25,'FCFF Build'!E25,'FCFF Build'!F25,'FCFF Build'!G25)+('FCFF Build'!G25*(1+B5)/($A12-B5))/(1+$A12)^5+Assumptions!D28)/Assumptions!D29</f>
        <v>780.55180438302739</v>
      </c>
      <c r="C12" s="38">
        <f>(NPV($A12,'FCFF Build'!C25,'FCFF Build'!D25,'FCFF Build'!E25,'FCFF Build'!F25,'FCFF Build'!G25)+('FCFF Build'!G25*(1+C5)/($A12-C5))/(1+$A12)^5+Assumptions!D28)/Assumptions!D29</f>
        <v>809.29506318499079</v>
      </c>
      <c r="D12" s="38">
        <f>(NPV($A12,'FCFF Build'!C25,'FCFF Build'!D25,'FCFF Build'!E25,'FCFF Build'!F25,'FCFF Build'!G25)+('FCFF Build'!G25*(1+D5)/($A12-D5))/(1+$A12)^5+Assumptions!D28)/Assumptions!D29</f>
        <v>841.63122933719956</v>
      </c>
      <c r="E12" s="38">
        <f>(NPV($A12,'FCFF Build'!C25,'FCFF Build'!D25,'FCFF Build'!E25,'FCFF Build'!F25,'FCFF Build'!G25)+('FCFF Build'!G25*(1+E5)/($A12-E5))/(1+$A12)^5+Assumptions!D28)/Assumptions!D29</f>
        <v>878.2788843097029</v>
      </c>
      <c r="F12" s="38">
        <f>(NPV($A12,'FCFF Build'!C25,'FCFF Build'!D25,'FCFF Build'!E25,'FCFF Build'!F25,'FCFF Build'!G25)+('FCFF Build'!G25*(1+F5)/($A12-F5))/(1+$A12)^5+Assumptions!D28)/Assumptions!D29</f>
        <v>920.16191856399257</v>
      </c>
      <c r="G12" s="38">
        <f>(NPV($A12,'FCFF Build'!C25,'FCFF Build'!D25,'FCFF Build'!E25,'FCFF Build'!F25,'FCFF Build'!G25)+('FCFF Build'!G25*(1+G5)/($A12-G5))/(1+$A12)^5+Assumptions!D28)/Assumptions!D29</f>
        <v>968.48849654971139</v>
      </c>
      <c r="H12" s="38">
        <f>(NPV($A12,'FCFF Build'!C25,'FCFF Build'!D25,'FCFF Build'!E25,'FCFF Build'!F25,'FCFF Build'!G25)+('FCFF Build'!G25*(1+H5)/($A12-H5))/(1+$A12)^5+Assumptions!D28)/Assumptions!D29</f>
        <v>1024.8695041997166</v>
      </c>
    </row>
    <row r="13" spans="1:8" ht="15" customHeight="1" x14ac:dyDescent="0.3">
      <c r="A13" s="1"/>
      <c r="B13" s="1"/>
      <c r="C13" s="1"/>
      <c r="D13" s="1"/>
      <c r="E13" s="1"/>
      <c r="F13" s="1"/>
      <c r="G13" s="1"/>
      <c r="H13" s="1"/>
    </row>
    <row r="14" spans="1:8" ht="32.25" customHeight="1" x14ac:dyDescent="0.3">
      <c r="A14" s="10" t="s">
        <v>174</v>
      </c>
      <c r="B14" s="1"/>
      <c r="C14" s="1"/>
      <c r="D14" s="1"/>
      <c r="E14" s="1"/>
      <c r="F14" s="1"/>
      <c r="G14" s="1"/>
      <c r="H14" s="1"/>
    </row>
    <row r="15" spans="1:8" ht="15" customHeight="1" x14ac:dyDescent="0.3">
      <c r="A15" s="1"/>
      <c r="B15" s="1"/>
      <c r="C15" s="1"/>
      <c r="D15" s="1"/>
      <c r="E15" s="1"/>
      <c r="F15" s="1"/>
      <c r="G15" s="1"/>
      <c r="H15" s="1"/>
    </row>
    <row r="16" spans="1:8" ht="15" customHeight="1" x14ac:dyDescent="0.3">
      <c r="A16" s="48" t="s">
        <v>175</v>
      </c>
      <c r="B16" s="48"/>
      <c r="C16" s="48"/>
      <c r="D16" s="48"/>
      <c r="E16" s="48"/>
      <c r="F16" s="48"/>
      <c r="G16" s="48"/>
      <c r="H16" s="48"/>
    </row>
    <row r="17" spans="1:8" ht="15" customHeight="1" x14ac:dyDescent="0.3">
      <c r="A17" s="18" t="s">
        <v>176</v>
      </c>
      <c r="B17" s="39">
        <v>25</v>
      </c>
      <c r="C17" s="39">
        <v>28</v>
      </c>
      <c r="D17" s="39">
        <v>30</v>
      </c>
      <c r="E17" s="39">
        <v>32</v>
      </c>
      <c r="F17" s="39">
        <v>35</v>
      </c>
      <c r="G17" s="39">
        <v>38</v>
      </c>
      <c r="H17" s="39">
        <v>40</v>
      </c>
    </row>
    <row r="18" spans="1:8" ht="15" customHeight="1" x14ac:dyDescent="0.3">
      <c r="A18" s="37">
        <v>8.5000000000000006E-2</v>
      </c>
      <c r="B18" s="38">
        <f>(NPV($A18,'FCFF Build'!C25,'FCFF Build'!D25,'FCFF Build'!E25,'FCFF Build'!F25,'FCFF Build'!G25)+'Income Stmt'!G23*B17/(1+$A18)^5+Assumptions!D28)/Assumptions!D29</f>
        <v>1863.4158380822064</v>
      </c>
      <c r="C18" s="38">
        <f>(NPV($A18,'FCFF Build'!C25,'FCFF Build'!D25,'FCFF Build'!E25,'FCFF Build'!F25,'FCFF Build'!G25)+'Income Stmt'!G23*C17/(1+$A18)^5+Assumptions!D28)/Assumptions!D29</f>
        <v>2045.0911013641016</v>
      </c>
      <c r="D18" s="38">
        <f>(NPV($A18,'FCFF Build'!C25,'FCFF Build'!D25,'FCFF Build'!E25,'FCFF Build'!F25,'FCFF Build'!G25)+'Income Stmt'!G23*D17/(1+$A18)^5+Assumptions!D28)/Assumptions!D29</f>
        <v>2166.2079435520318</v>
      </c>
      <c r="E18" s="38">
        <f>(NPV($A18,'FCFF Build'!C25,'FCFF Build'!D25,'FCFF Build'!E25,'FCFF Build'!F25,'FCFF Build'!G25)+'Income Stmt'!G23*E17/(1+$A18)^5+Assumptions!D28)/Assumptions!D29</f>
        <v>2287.324785739962</v>
      </c>
      <c r="F18" s="38">
        <f>(NPV($A18,'FCFF Build'!C25,'FCFF Build'!D25,'FCFF Build'!E25,'FCFF Build'!F25,'FCFF Build'!G25)+'Income Stmt'!G23*F17/(1+$A18)^5+Assumptions!D28)/Assumptions!D29</f>
        <v>2469.0000490218576</v>
      </c>
      <c r="G18" s="38">
        <f>(NPV($A18,'FCFF Build'!C25,'FCFF Build'!D25,'FCFF Build'!E25,'FCFF Build'!F25,'FCFF Build'!G25)+'Income Stmt'!G23*G17/(1+$A18)^5+Assumptions!D28)/Assumptions!D29</f>
        <v>2650.6753123037529</v>
      </c>
      <c r="H18" s="38">
        <f>(NPV($A18,'FCFF Build'!C25,'FCFF Build'!D25,'FCFF Build'!E25,'FCFF Build'!F25,'FCFF Build'!G25)+'Income Stmt'!G23*H17/(1+$A18)^5+Assumptions!D28)/Assumptions!D29</f>
        <v>2771.7921544916835</v>
      </c>
    </row>
    <row r="19" spans="1:8" ht="15" customHeight="1" x14ac:dyDescent="0.3">
      <c r="A19" s="37">
        <v>0.09</v>
      </c>
      <c r="B19" s="38">
        <f>(NPV($A19,'FCFF Build'!C25,'FCFF Build'!D25,'FCFF Build'!E25,'FCFF Build'!F25,'FCFF Build'!G25)+'Income Stmt'!G23*B17/(1+$A19)^5+Assumptions!D28)/Assumptions!D29</f>
        <v>1825.8315096957601</v>
      </c>
      <c r="C19" s="38">
        <f>(NPV($A19,'FCFF Build'!C25,'FCFF Build'!D25,'FCFF Build'!E25,'FCFF Build'!F25,'FCFF Build'!G25)+'Income Stmt'!G23*C17/(1+$A19)^5+Assumptions!D28)/Assumptions!D29</f>
        <v>2003.377962293041</v>
      </c>
      <c r="D19" s="38">
        <f>(NPV($A19,'FCFF Build'!C25,'FCFF Build'!D25,'FCFF Build'!E25,'FCFF Build'!F25,'FCFF Build'!G25)+'Income Stmt'!G23*D17/(1+$A19)^5+Assumptions!D28)/Assumptions!D29</f>
        <v>2121.7422640245622</v>
      </c>
      <c r="E19" s="38">
        <f>(NPV($A19,'FCFF Build'!C25,'FCFF Build'!D25,'FCFF Build'!E25,'FCFF Build'!F25,'FCFF Build'!G25)+'Income Stmt'!G23*E17/(1+$A19)^5+Assumptions!D28)/Assumptions!D29</f>
        <v>2240.1065657560825</v>
      </c>
      <c r="F19" s="38">
        <f>(NPV($A19,'FCFF Build'!C25,'FCFF Build'!D25,'FCFF Build'!E25,'FCFF Build'!F25,'FCFF Build'!G25)+'Income Stmt'!G23*F17/(1+$A19)^5+Assumptions!D28)/Assumptions!D29</f>
        <v>2417.6530183533641</v>
      </c>
      <c r="G19" s="38">
        <f>(NPV($A19,'FCFF Build'!C25,'FCFF Build'!D25,'FCFF Build'!E25,'FCFF Build'!F25,'FCFF Build'!G25)+'Income Stmt'!G23*G17/(1+$A19)^5+Assumptions!D28)/Assumptions!D29</f>
        <v>2595.1994709506448</v>
      </c>
      <c r="H19" s="38">
        <f>(NPV($A19,'FCFF Build'!C25,'FCFF Build'!D25,'FCFF Build'!E25,'FCFF Build'!F25,'FCFF Build'!G25)+'Income Stmt'!G23*H17/(1+$A19)^5+Assumptions!D28)/Assumptions!D29</f>
        <v>2713.563772682166</v>
      </c>
    </row>
    <row r="20" spans="1:8" ht="15" customHeight="1" x14ac:dyDescent="0.3">
      <c r="A20" s="37">
        <v>9.5000000000000001E-2</v>
      </c>
      <c r="B20" s="38">
        <f>(NPV($A20,'FCFF Build'!C25,'FCFF Build'!D25,'FCFF Build'!E25,'FCFF Build'!F25,'FCFF Build'!G25)+'Income Stmt'!G23*B17/(1+$A20)^5+Assumptions!D28)/Assumptions!D29</f>
        <v>1789.2481329549564</v>
      </c>
      <c r="C20" s="38">
        <f>(NPV($A20,'FCFF Build'!C25,'FCFF Build'!D25,'FCFF Build'!E25,'FCFF Build'!F25,'FCFF Build'!G25)+'Income Stmt'!G23*C17/(1+$A20)^5+Assumptions!D28)/Assumptions!D29</f>
        <v>1962.7778638466968</v>
      </c>
      <c r="D20" s="38">
        <f>(NPV($A20,'FCFF Build'!C25,'FCFF Build'!D25,'FCFF Build'!E25,'FCFF Build'!F25,'FCFF Build'!G25)+'Income Stmt'!G23*D17/(1+$A20)^5+Assumptions!D28)/Assumptions!D29</f>
        <v>2078.4643511078571</v>
      </c>
      <c r="E20" s="38">
        <f>(NPV($A20,'FCFF Build'!C25,'FCFF Build'!D25,'FCFF Build'!E25,'FCFF Build'!F25,'FCFF Build'!G25)+'Income Stmt'!G23*E17/(1+$A20)^5+Assumptions!D28)/Assumptions!D29</f>
        <v>2194.1508383690175</v>
      </c>
      <c r="F20" s="38">
        <f>(NPV($A20,'FCFF Build'!C25,'FCFF Build'!D25,'FCFF Build'!E25,'FCFF Build'!F25,'FCFF Build'!G25)+'Income Stmt'!G23*F17/(1+$A20)^5+Assumptions!D28)/Assumptions!D29</f>
        <v>2367.6805692607577</v>
      </c>
      <c r="G20" s="38">
        <f>(NPV($A20,'FCFF Build'!C25,'FCFF Build'!D25,'FCFF Build'!E25,'FCFF Build'!F25,'FCFF Build'!G25)+'Income Stmt'!G23*G17/(1+$A20)^5+Assumptions!D28)/Assumptions!D29</f>
        <v>2541.2103001524983</v>
      </c>
      <c r="H20" s="38">
        <f>(NPV($A20,'FCFF Build'!C25,'FCFF Build'!D25,'FCFF Build'!E25,'FCFF Build'!F25,'FCFF Build'!G25)+'Income Stmt'!G23*H17/(1+$A20)^5+Assumptions!D28)/Assumptions!D29</f>
        <v>2656.8967874136583</v>
      </c>
    </row>
    <row r="21" spans="1:8" ht="15" customHeight="1" x14ac:dyDescent="0.3">
      <c r="A21" s="37">
        <v>0.1</v>
      </c>
      <c r="B21" s="38">
        <f>(NPV($A21,'FCFF Build'!C25,'FCFF Build'!D25,'FCFF Build'!E25,'FCFF Build'!F25,'FCFF Build'!G25)+'Income Stmt'!G23*B17/(1+$A21)^5+Assumptions!D28)/Assumptions!D29</f>
        <v>1753.6344537495379</v>
      </c>
      <c r="C21" s="38">
        <f>(NPV($A21,'FCFF Build'!C25,'FCFF Build'!D25,'FCFF Build'!E25,'FCFF Build'!F25,'FCFF Build'!G25)+'Income Stmt'!G23*C17/(1+$A21)^5+Assumptions!D28)/Assumptions!D29</f>
        <v>1923.2560177719247</v>
      </c>
      <c r="D21" s="38">
        <f>(NPV($A21,'FCFF Build'!C25,'FCFF Build'!D25,'FCFF Build'!E25,'FCFF Build'!F25,'FCFF Build'!G25)+'Income Stmt'!G23*D17/(1+$A21)^5+Assumptions!D28)/Assumptions!D29</f>
        <v>2036.3370604535157</v>
      </c>
      <c r="E21" s="38">
        <f>(NPV($A21,'FCFF Build'!C25,'FCFF Build'!D25,'FCFF Build'!E25,'FCFF Build'!F25,'FCFF Build'!G25)+'Income Stmt'!G23*E17/(1+$A21)^5+Assumptions!D28)/Assumptions!D29</f>
        <v>2149.4181031351072</v>
      </c>
      <c r="F21" s="38">
        <f>(NPV($A21,'FCFF Build'!C25,'FCFF Build'!D25,'FCFF Build'!E25,'FCFF Build'!F25,'FCFF Build'!G25)+'Income Stmt'!G23*F17/(1+$A21)^5+Assumptions!D28)/Assumptions!D29</f>
        <v>2319.039667157494</v>
      </c>
      <c r="G21" s="38">
        <f>(NPV($A21,'FCFF Build'!C25,'FCFF Build'!D25,'FCFF Build'!E25,'FCFF Build'!F25,'FCFF Build'!G25)+'Income Stmt'!G23*G17/(1+$A21)^5+Assumptions!D28)/Assumptions!D29</f>
        <v>2488.6612311798804</v>
      </c>
      <c r="H21" s="38">
        <f>(NPV($A21,'FCFF Build'!C25,'FCFF Build'!D25,'FCFF Build'!E25,'FCFF Build'!F25,'FCFF Build'!G25)+'Income Stmt'!G23*H17/(1+$A21)^5+Assumptions!D28)/Assumptions!D29</f>
        <v>2601.7422738614714</v>
      </c>
    </row>
    <row r="22" spans="1:8" ht="15" customHeight="1" x14ac:dyDescent="0.3">
      <c r="A22" s="37">
        <v>0.105</v>
      </c>
      <c r="B22" s="38">
        <f>(NPV($A22,'FCFF Build'!C25,'FCFF Build'!D25,'FCFF Build'!E25,'FCFF Build'!F25,'FCFF Build'!G25)+'Income Stmt'!G23*B17/(1+$A22)^5+Assumptions!D28)/Assumptions!D29</f>
        <v>1718.9603325455753</v>
      </c>
      <c r="C22" s="38">
        <f>(NPV($A22,'FCFF Build'!C25,'FCFF Build'!D25,'FCFF Build'!E25,'FCFF Build'!F25,'FCFF Build'!G25)+'Income Stmt'!G23*C17/(1+$A22)^5+Assumptions!D28)/Assumptions!D29</f>
        <v>1884.7788771695173</v>
      </c>
      <c r="D22" s="38">
        <f>(NPV($A22,'FCFF Build'!C25,'FCFF Build'!D25,'FCFF Build'!E25,'FCFF Build'!F25,'FCFF Build'!G25)+'Income Stmt'!G23*D17/(1+$A22)^5+Assumptions!D28)/Assumptions!D29</f>
        <v>1995.3245735854784</v>
      </c>
      <c r="E22" s="38">
        <f>(NPV($A22,'FCFF Build'!C25,'FCFF Build'!D25,'FCFF Build'!E25,'FCFF Build'!F25,'FCFF Build'!G25)+'Income Stmt'!G23*E17/(1+$A22)^5+Assumptions!D28)/Assumptions!D29</f>
        <v>2105.8702700014396</v>
      </c>
      <c r="F22" s="38">
        <f>(NPV($A22,'FCFF Build'!C25,'FCFF Build'!D25,'FCFF Build'!E25,'FCFF Build'!F25,'FCFF Build'!G25)+'Income Stmt'!G23*F17/(1+$A22)^5+Assumptions!D28)/Assumptions!D29</f>
        <v>2271.6888146253818</v>
      </c>
      <c r="G22" s="38">
        <f>(NPV($A22,'FCFF Build'!C25,'FCFF Build'!D25,'FCFF Build'!E25,'FCFF Build'!F25,'FCFF Build'!G25)+'Income Stmt'!G23*G17/(1+$A22)^5+Assumptions!D28)/Assumptions!D29</f>
        <v>2437.5073592493231</v>
      </c>
      <c r="H22" s="38">
        <f>(NPV($A22,'FCFF Build'!C25,'FCFF Build'!D25,'FCFF Build'!E25,'FCFF Build'!F25,'FCFF Build'!G25)+'Income Stmt'!G23*H17/(1+$A22)^5+Assumptions!D28)/Assumptions!D29</f>
        <v>2548.0530556652848</v>
      </c>
    </row>
    <row r="23" spans="1:8" ht="15" customHeight="1" x14ac:dyDescent="0.3">
      <c r="A23" s="37">
        <v>0.11</v>
      </c>
      <c r="B23" s="38">
        <f>(NPV($A23,'FCFF Build'!C25,'FCFF Build'!D25,'FCFF Build'!E25,'FCFF Build'!F25,'FCFF Build'!G25)+'Income Stmt'!G23*B17/(1+$A23)^5+Assumptions!D28)/Assumptions!D29</f>
        <v>1685.1966997825616</v>
      </c>
      <c r="C23" s="38">
        <f>(NPV($A23,'FCFF Build'!C25,'FCFF Build'!D25,'FCFF Build'!E25,'FCFF Build'!F25,'FCFF Build'!G25)+'Income Stmt'!G23*C17/(1+$A23)^5+Assumptions!D28)/Assumptions!D29</f>
        <v>1847.3140867978975</v>
      </c>
      <c r="D23" s="38">
        <f>(NPV($A23,'FCFF Build'!C25,'FCFF Build'!D25,'FCFF Build'!E25,'FCFF Build'!F25,'FCFF Build'!G25)+'Income Stmt'!G23*D17/(1+$A23)^5+Assumptions!D28)/Assumptions!D29</f>
        <v>1955.3923448081209</v>
      </c>
      <c r="E23" s="38">
        <f>(NPV($A23,'FCFF Build'!C25,'FCFF Build'!D25,'FCFF Build'!E25,'FCFF Build'!F25,'FCFF Build'!G25)+'Income Stmt'!G23*E17/(1+$A23)^5+Assumptions!D28)/Assumptions!D29</f>
        <v>2063.4706028183446</v>
      </c>
      <c r="F23" s="38">
        <f>(NPV($A23,'FCFF Build'!C25,'FCFF Build'!D25,'FCFF Build'!E25,'FCFF Build'!F25,'FCFF Build'!G25)+'Income Stmt'!G23*F17/(1+$A23)^5+Assumptions!D28)/Assumptions!D29</f>
        <v>2225.5879898336802</v>
      </c>
      <c r="G23" s="38">
        <f>(NPV($A23,'FCFF Build'!C25,'FCFF Build'!D25,'FCFF Build'!E25,'FCFF Build'!F25,'FCFF Build'!G25)+'Income Stmt'!G23*G17/(1+$A23)^5+Assumptions!D28)/Assumptions!D29</f>
        <v>2387.7053768490164</v>
      </c>
      <c r="H23" s="38">
        <f>(NPV($A23,'FCFF Build'!C25,'FCFF Build'!D25,'FCFF Build'!E25,'FCFF Build'!F25,'FCFF Build'!G25)+'Income Stmt'!G23*H17/(1+$A23)^5+Assumptions!D28)/Assumptions!D29</f>
        <v>2495.7836348592396</v>
      </c>
    </row>
    <row r="24" spans="1:8" ht="15" customHeight="1" x14ac:dyDescent="0.3">
      <c r="A24" s="37">
        <v>0.115</v>
      </c>
      <c r="B24" s="38">
        <f>(NPV($A24,'FCFF Build'!C25,'FCFF Build'!D25,'FCFF Build'!E25,'FCFF Build'!F25,'FCFF Build'!G25)+'Income Stmt'!G23*B17/(1+$A24)^5+Assumptions!D28)/Assumptions!D29</f>
        <v>1652.3155132471336</v>
      </c>
      <c r="C24" s="38">
        <f>(NPV($A24,'FCFF Build'!C25,'FCFF Build'!D25,'FCFF Build'!E25,'FCFF Build'!F25,'FCFF Build'!G25)+'Income Stmt'!G23*C17/(1+$A24)^5+Assumptions!D28)/Assumptions!D29</f>
        <v>1810.8304355797998</v>
      </c>
      <c r="D24" s="38">
        <f>(NPV($A24,'FCFF Build'!C25,'FCFF Build'!D25,'FCFF Build'!E25,'FCFF Build'!F25,'FCFF Build'!G25)+'Income Stmt'!G23*D17/(1+$A24)^5+Assumptions!D28)/Assumptions!D29</f>
        <v>1916.507050468244</v>
      </c>
      <c r="E24" s="38">
        <f>(NPV($A24,'FCFF Build'!C25,'FCFF Build'!D25,'FCFF Build'!E25,'FCFF Build'!F25,'FCFF Build'!G25)+'Income Stmt'!G23*E17/(1+$A24)^5+Assumptions!D28)/Assumptions!D29</f>
        <v>2022.1836653566884</v>
      </c>
      <c r="F24" s="38">
        <f>(NPV($A24,'FCFF Build'!C25,'FCFF Build'!D25,'FCFF Build'!E25,'FCFF Build'!F25,'FCFF Build'!G25)+'Income Stmt'!G23*F17/(1+$A24)^5+Assumptions!D28)/Assumptions!D29</f>
        <v>2180.6985876893546</v>
      </c>
      <c r="G24" s="38">
        <f>(NPV($A24,'FCFF Build'!C25,'FCFF Build'!D25,'FCFF Build'!E25,'FCFF Build'!F25,'FCFF Build'!G25)+'Income Stmt'!G23*G17/(1+$A24)^5+Assumptions!D28)/Assumptions!D29</f>
        <v>2339.2135100220212</v>
      </c>
      <c r="H24" s="38">
        <f>(NPV($A24,'FCFF Build'!C25,'FCFF Build'!D25,'FCFF Build'!E25,'FCFF Build'!F25,'FCFF Build'!G25)+'Income Stmt'!G23*H17/(1+$A24)^5+Assumptions!D28)/Assumptions!D29</f>
        <v>2444.8901249104651</v>
      </c>
    </row>
    <row r="25" spans="1:8" ht="15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42.75" customHeight="1" x14ac:dyDescent="0.3">
      <c r="A26" s="10" t="s">
        <v>177</v>
      </c>
      <c r="B26" s="1"/>
      <c r="C26" s="1"/>
      <c r="D26" s="1"/>
      <c r="E26" s="1"/>
      <c r="F26" s="1"/>
      <c r="G26" s="1"/>
      <c r="H26" s="1"/>
    </row>
  </sheetData>
  <mergeCells count="4">
    <mergeCell ref="A1:H1"/>
    <mergeCell ref="A2:H2"/>
    <mergeCell ref="A4:H4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7"/>
  <sheetViews>
    <sheetView showGridLines="0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sqref="A1:D1"/>
    </sheetView>
  </sheetViews>
  <sheetFormatPr defaultColWidth="8.6640625" defaultRowHeight="14.4" x14ac:dyDescent="0.3"/>
  <cols>
    <col min="1" max="1" width="42" customWidth="1"/>
    <col min="2" max="4" width="18" customWidth="1"/>
  </cols>
  <sheetData>
    <row r="1" spans="1:4" ht="15.75" customHeight="1" x14ac:dyDescent="0.3">
      <c r="A1" s="46" t="s">
        <v>178</v>
      </c>
      <c r="B1" s="46"/>
      <c r="C1" s="46"/>
      <c r="D1" s="46"/>
    </row>
    <row r="2" spans="1:4" ht="15" customHeight="1" x14ac:dyDescent="0.3">
      <c r="A2" s="47" t="s">
        <v>179</v>
      </c>
      <c r="B2" s="47"/>
      <c r="C2" s="47"/>
      <c r="D2" s="47"/>
    </row>
    <row r="3" spans="1:4" ht="15" customHeight="1" x14ac:dyDescent="0.3">
      <c r="A3" s="1"/>
      <c r="B3" s="1"/>
      <c r="C3" s="1"/>
      <c r="D3" s="1"/>
    </row>
    <row r="4" spans="1:4" ht="15" customHeight="1" x14ac:dyDescent="0.3">
      <c r="A4" s="48" t="s">
        <v>180</v>
      </c>
      <c r="B4" s="48"/>
      <c r="C4" s="48"/>
      <c r="D4" s="48"/>
    </row>
    <row r="5" spans="1:4" ht="15" customHeight="1" x14ac:dyDescent="0.3">
      <c r="A5" s="21" t="s">
        <v>71</v>
      </c>
      <c r="B5" s="40">
        <f>Assumptions!D30</f>
        <v>2885</v>
      </c>
      <c r="C5" s="1"/>
      <c r="D5" s="1"/>
    </row>
    <row r="6" spans="1:4" ht="15" customHeight="1" x14ac:dyDescent="0.3">
      <c r="A6" s="6" t="s">
        <v>69</v>
      </c>
      <c r="B6" s="35">
        <f>Assumptions!D29</f>
        <v>25.5</v>
      </c>
      <c r="C6" s="1"/>
      <c r="D6" s="1"/>
    </row>
    <row r="7" spans="1:4" ht="15" customHeight="1" x14ac:dyDescent="0.3">
      <c r="A7" s="6" t="s">
        <v>181</v>
      </c>
      <c r="B7" s="19">
        <f>B5*B6</f>
        <v>73567.5</v>
      </c>
      <c r="C7" s="1"/>
      <c r="D7" s="1"/>
    </row>
    <row r="8" spans="1:4" ht="15" customHeight="1" x14ac:dyDescent="0.3">
      <c r="A8" s="6" t="s">
        <v>182</v>
      </c>
      <c r="B8" s="23">
        <f>Assumptions!D28</f>
        <v>2944</v>
      </c>
      <c r="C8" s="1"/>
      <c r="D8" s="1"/>
    </row>
    <row r="9" spans="1:4" ht="15" customHeight="1" x14ac:dyDescent="0.3">
      <c r="A9" s="21" t="s">
        <v>183</v>
      </c>
      <c r="B9" s="22">
        <f>B7-B8</f>
        <v>70623.5</v>
      </c>
      <c r="C9" s="1"/>
      <c r="D9" s="1"/>
    </row>
    <row r="10" spans="1:4" ht="15" customHeight="1" x14ac:dyDescent="0.3">
      <c r="A10" s="1"/>
      <c r="B10" s="1"/>
      <c r="C10" s="1"/>
      <c r="D10" s="1"/>
    </row>
    <row r="11" spans="1:4" ht="15" customHeight="1" x14ac:dyDescent="0.3">
      <c r="A11" s="48" t="s">
        <v>184</v>
      </c>
      <c r="B11" s="48"/>
      <c r="C11" s="48"/>
      <c r="D11" s="48"/>
    </row>
    <row r="12" spans="1:4" ht="21.75" customHeight="1" x14ac:dyDescent="0.3">
      <c r="A12" s="10" t="s">
        <v>185</v>
      </c>
      <c r="B12" s="1"/>
      <c r="C12" s="1"/>
      <c r="D12" s="1"/>
    </row>
    <row r="13" spans="1:4" ht="15" customHeight="1" x14ac:dyDescent="0.3">
      <c r="A13" s="18" t="s">
        <v>186</v>
      </c>
      <c r="B13" s="41" t="s">
        <v>187</v>
      </c>
      <c r="C13" s="41" t="s">
        <v>188</v>
      </c>
      <c r="D13" s="41" t="s">
        <v>167</v>
      </c>
    </row>
    <row r="14" spans="1:4" ht="15" customHeight="1" x14ac:dyDescent="0.3">
      <c r="A14" s="42">
        <v>0.05</v>
      </c>
      <c r="B14" s="19">
        <f>((((Assumptions!$D$6*(1+$A14)^1)*(Assumptions!$D$14+(Assumptions!$D$19-Assumptions!$D$14)*1/5))-((Assumptions!$D$6*(1+$A14)^1)*Assumptions!$D$22))*(1-Assumptions!$D$27)+((Assumptions!$D$6*(1+$A14)^1)*Assumptions!$D$22)-((Assumptions!$D$6*(1+$A14)^1)*Assumptions!$D$23)-(((Assumptions!$D$6*(1+$A14)^1)-Assumptions!$D$6)*Assumptions!$D$24))/(1+WACC!$D$21)^1+((((Assumptions!$D$6*(1+$A14)^2)*(Assumptions!$D$14+(Assumptions!$D$19-Assumptions!$D$14)*2/5))-((Assumptions!$D$6*(1+$A14)^2)*Assumptions!$D$22))*(1-Assumptions!$D$27)+((Assumptions!$D$6*(1+$A14)^2)*Assumptions!$D$22)-((Assumptions!$D$6*(1+$A14)^2)*Assumptions!$D$23)-(((Assumptions!$D$6*(1+$A14)^2)-(Assumptions!$D$6*(1+$A14)^1))*Assumptions!$D$24))/(1+WACC!$D$21)^2+((((Assumptions!$D$6*(1+$A14)^3)*(Assumptions!$D$14+(Assumptions!$D$19-Assumptions!$D$14)*3/5))-((Assumptions!$D$6*(1+$A14)^3)*Assumptions!$D$22))*(1-Assumptions!$D$27)+((Assumptions!$D$6*(1+$A14)^3)*Assumptions!$D$22)-((Assumptions!$D$6*(1+$A14)^3)*Assumptions!$D$23)-(((Assumptions!$D$6*(1+$A14)^3)-(Assumptions!$D$6*(1+$A14)^2))*Assumptions!$D$24))/(1+WACC!$D$21)^3+((((Assumptions!$D$6*(1+$A14)^4)*(Assumptions!$D$14+(Assumptions!$D$19-Assumptions!$D$14)*4/5))-((Assumptions!$D$6*(1+$A14)^4)*Assumptions!$D$22))*(1-Assumptions!$D$27)+((Assumptions!$D$6*(1+$A14)^4)*Assumptions!$D$22)-((Assumptions!$D$6*(1+$A14)^4)*Assumptions!$D$23)-(((Assumptions!$D$6*(1+$A14)^4)-(Assumptions!$D$6*(1+$A14)^3))*Assumptions!$D$24))/(1+WACC!$D$21)^4+((((Assumptions!$D$6*(1+$A14)^5)*(Assumptions!$D$14+(Assumptions!$D$19-Assumptions!$D$14)*5/5))-((Assumptions!$D$6*(1+$A14)^5)*Assumptions!$D$22))*(1-Assumptions!$D$27)+((Assumptions!$D$6*(1+$A14)^5)*Assumptions!$D$22)-((Assumptions!$D$6*(1+$A14)^5)*Assumptions!$D$23)-(((Assumptions!$D$6*(1+$A14)^5)-(Assumptions!$D$6*(1+$A14)^4))*Assumptions!$D$24))/(1+WACC!$D$21)^5+(((Assumptions!$D$6*(1+$A14)^5)*Assumptions!$D$19)*Assumptions!$D$41/(1+WACC!$D$21)^5)</f>
        <v>40935.433781778192</v>
      </c>
      <c r="C14" s="19">
        <f t="shared" ref="C14:C22" si="0">B14-$B$9</f>
        <v>-29688.066218221808</v>
      </c>
      <c r="D14" s="43">
        <f>(B14+Assumptions!$D$28)/Assumptions!$D$29</f>
        <v>1720.7621090893408</v>
      </c>
    </row>
    <row r="15" spans="1:4" ht="15" customHeight="1" x14ac:dyDescent="0.3">
      <c r="A15" s="42">
        <v>0.08</v>
      </c>
      <c r="B15" s="19">
        <f>((((Assumptions!$D$6*(1+$A15)^1)*(Assumptions!$D$14+(Assumptions!$D$19-Assumptions!$D$14)*1/5))-((Assumptions!$D$6*(1+$A15)^1)*Assumptions!$D$22))*(1-Assumptions!$D$27)+((Assumptions!$D$6*(1+$A15)^1)*Assumptions!$D$22)-((Assumptions!$D$6*(1+$A15)^1)*Assumptions!$D$23)-(((Assumptions!$D$6*(1+$A15)^1)-Assumptions!$D$6)*Assumptions!$D$24))/(1+WACC!$D$21)^1+((((Assumptions!$D$6*(1+$A15)^2)*(Assumptions!$D$14+(Assumptions!$D$19-Assumptions!$D$14)*2/5))-((Assumptions!$D$6*(1+$A15)^2)*Assumptions!$D$22))*(1-Assumptions!$D$27)+((Assumptions!$D$6*(1+$A15)^2)*Assumptions!$D$22)-((Assumptions!$D$6*(1+$A15)^2)*Assumptions!$D$23)-(((Assumptions!$D$6*(1+$A15)^2)-(Assumptions!$D$6*(1+$A15)^1))*Assumptions!$D$24))/(1+WACC!$D$21)^2+((((Assumptions!$D$6*(1+$A15)^3)*(Assumptions!$D$14+(Assumptions!$D$19-Assumptions!$D$14)*3/5))-((Assumptions!$D$6*(1+$A15)^3)*Assumptions!$D$22))*(1-Assumptions!$D$27)+((Assumptions!$D$6*(1+$A15)^3)*Assumptions!$D$22)-((Assumptions!$D$6*(1+$A15)^3)*Assumptions!$D$23)-(((Assumptions!$D$6*(1+$A15)^3)-(Assumptions!$D$6*(1+$A15)^2))*Assumptions!$D$24))/(1+WACC!$D$21)^3+((((Assumptions!$D$6*(1+$A15)^4)*(Assumptions!$D$14+(Assumptions!$D$19-Assumptions!$D$14)*4/5))-((Assumptions!$D$6*(1+$A15)^4)*Assumptions!$D$22))*(1-Assumptions!$D$27)+((Assumptions!$D$6*(1+$A15)^4)*Assumptions!$D$22)-((Assumptions!$D$6*(1+$A15)^4)*Assumptions!$D$23)-(((Assumptions!$D$6*(1+$A15)^4)-(Assumptions!$D$6*(1+$A15)^3))*Assumptions!$D$24))/(1+WACC!$D$21)^4+((((Assumptions!$D$6*(1+$A15)^5)*(Assumptions!$D$14+(Assumptions!$D$19-Assumptions!$D$14)*5/5))-((Assumptions!$D$6*(1+$A15)^5)*Assumptions!$D$22))*(1-Assumptions!$D$27)+((Assumptions!$D$6*(1+$A15)^5)*Assumptions!$D$22)-((Assumptions!$D$6*(1+$A15)^5)*Assumptions!$D$23)-(((Assumptions!$D$6*(1+$A15)^5)-(Assumptions!$D$6*(1+$A15)^4))*Assumptions!$D$24))/(1+WACC!$D$21)^5+(((Assumptions!$D$6*(1+$A15)^5)*Assumptions!$D$19)*Assumptions!$D$41/(1+WACC!$D$21)^5)</f>
        <v>46795.463057325964</v>
      </c>
      <c r="C15" s="19">
        <f t="shared" si="0"/>
        <v>-23828.036942674036</v>
      </c>
      <c r="D15" s="43">
        <f>(B15+Assumptions!$D$28)/Assumptions!$D$29</f>
        <v>1950.5671787186652</v>
      </c>
    </row>
    <row r="16" spans="1:4" ht="15" customHeight="1" x14ac:dyDescent="0.3">
      <c r="A16" s="42">
        <v>0.1</v>
      </c>
      <c r="B16" s="19">
        <f>((((Assumptions!$D$6*(1+$A16)^1)*(Assumptions!$D$14+(Assumptions!$D$19-Assumptions!$D$14)*1/5))-((Assumptions!$D$6*(1+$A16)^1)*Assumptions!$D$22))*(1-Assumptions!$D$27)+((Assumptions!$D$6*(1+$A16)^1)*Assumptions!$D$22)-((Assumptions!$D$6*(1+$A16)^1)*Assumptions!$D$23)-(((Assumptions!$D$6*(1+$A16)^1)-Assumptions!$D$6)*Assumptions!$D$24))/(1+WACC!$D$21)^1+((((Assumptions!$D$6*(1+$A16)^2)*(Assumptions!$D$14+(Assumptions!$D$19-Assumptions!$D$14)*2/5))-((Assumptions!$D$6*(1+$A16)^2)*Assumptions!$D$22))*(1-Assumptions!$D$27)+((Assumptions!$D$6*(1+$A16)^2)*Assumptions!$D$22)-((Assumptions!$D$6*(1+$A16)^2)*Assumptions!$D$23)-(((Assumptions!$D$6*(1+$A16)^2)-(Assumptions!$D$6*(1+$A16)^1))*Assumptions!$D$24))/(1+WACC!$D$21)^2+((((Assumptions!$D$6*(1+$A16)^3)*(Assumptions!$D$14+(Assumptions!$D$19-Assumptions!$D$14)*3/5))-((Assumptions!$D$6*(1+$A16)^3)*Assumptions!$D$22))*(1-Assumptions!$D$27)+((Assumptions!$D$6*(1+$A16)^3)*Assumptions!$D$22)-((Assumptions!$D$6*(1+$A16)^3)*Assumptions!$D$23)-(((Assumptions!$D$6*(1+$A16)^3)-(Assumptions!$D$6*(1+$A16)^2))*Assumptions!$D$24))/(1+WACC!$D$21)^3+((((Assumptions!$D$6*(1+$A16)^4)*(Assumptions!$D$14+(Assumptions!$D$19-Assumptions!$D$14)*4/5))-((Assumptions!$D$6*(1+$A16)^4)*Assumptions!$D$22))*(1-Assumptions!$D$27)+((Assumptions!$D$6*(1+$A16)^4)*Assumptions!$D$22)-((Assumptions!$D$6*(1+$A16)^4)*Assumptions!$D$23)-(((Assumptions!$D$6*(1+$A16)^4)-(Assumptions!$D$6*(1+$A16)^3))*Assumptions!$D$24))/(1+WACC!$D$21)^4+((((Assumptions!$D$6*(1+$A16)^5)*(Assumptions!$D$14+(Assumptions!$D$19-Assumptions!$D$14)*5/5))-((Assumptions!$D$6*(1+$A16)^5)*Assumptions!$D$22))*(1-Assumptions!$D$27)+((Assumptions!$D$6*(1+$A16)^5)*Assumptions!$D$22)-((Assumptions!$D$6*(1+$A16)^5)*Assumptions!$D$23)-(((Assumptions!$D$6*(1+$A16)^5)-(Assumptions!$D$6*(1+$A16)^4))*Assumptions!$D$24))/(1+WACC!$D$21)^5+(((Assumptions!$D$6*(1+$A16)^5)*Assumptions!$D$19)*Assumptions!$D$41/(1+WACC!$D$21)^5)</f>
        <v>51071.498143060802</v>
      </c>
      <c r="C16" s="19">
        <f t="shared" si="0"/>
        <v>-19552.001856939198</v>
      </c>
      <c r="D16" s="43">
        <f>(B16+Assumptions!$D$28)/Assumptions!$D$29</f>
        <v>2118.2548291396392</v>
      </c>
    </row>
    <row r="17" spans="1:4" ht="15" customHeight="1" x14ac:dyDescent="0.3">
      <c r="A17" s="42">
        <v>0.12</v>
      </c>
      <c r="B17" s="19">
        <f>((((Assumptions!$D$6*(1+$A17)^1)*(Assumptions!$D$14+(Assumptions!$D$19-Assumptions!$D$14)*1/5))-((Assumptions!$D$6*(1+$A17)^1)*Assumptions!$D$22))*(1-Assumptions!$D$27)+((Assumptions!$D$6*(1+$A17)^1)*Assumptions!$D$22)-((Assumptions!$D$6*(1+$A17)^1)*Assumptions!$D$23)-(((Assumptions!$D$6*(1+$A17)^1)-Assumptions!$D$6)*Assumptions!$D$24))/(1+WACC!$D$21)^1+((((Assumptions!$D$6*(1+$A17)^2)*(Assumptions!$D$14+(Assumptions!$D$19-Assumptions!$D$14)*2/5))-((Assumptions!$D$6*(1+$A17)^2)*Assumptions!$D$22))*(1-Assumptions!$D$27)+((Assumptions!$D$6*(1+$A17)^2)*Assumptions!$D$22)-((Assumptions!$D$6*(1+$A17)^2)*Assumptions!$D$23)-(((Assumptions!$D$6*(1+$A17)^2)-(Assumptions!$D$6*(1+$A17)^1))*Assumptions!$D$24))/(1+WACC!$D$21)^2+((((Assumptions!$D$6*(1+$A17)^3)*(Assumptions!$D$14+(Assumptions!$D$19-Assumptions!$D$14)*3/5))-((Assumptions!$D$6*(1+$A17)^3)*Assumptions!$D$22))*(1-Assumptions!$D$27)+((Assumptions!$D$6*(1+$A17)^3)*Assumptions!$D$22)-((Assumptions!$D$6*(1+$A17)^3)*Assumptions!$D$23)-(((Assumptions!$D$6*(1+$A17)^3)-(Assumptions!$D$6*(1+$A17)^2))*Assumptions!$D$24))/(1+WACC!$D$21)^3+((((Assumptions!$D$6*(1+$A17)^4)*(Assumptions!$D$14+(Assumptions!$D$19-Assumptions!$D$14)*4/5))-((Assumptions!$D$6*(1+$A17)^4)*Assumptions!$D$22))*(1-Assumptions!$D$27)+((Assumptions!$D$6*(1+$A17)^4)*Assumptions!$D$22)-((Assumptions!$D$6*(1+$A17)^4)*Assumptions!$D$23)-(((Assumptions!$D$6*(1+$A17)^4)-(Assumptions!$D$6*(1+$A17)^3))*Assumptions!$D$24))/(1+WACC!$D$21)^4+((((Assumptions!$D$6*(1+$A17)^5)*(Assumptions!$D$14+(Assumptions!$D$19-Assumptions!$D$14)*5/5))-((Assumptions!$D$6*(1+$A17)^5)*Assumptions!$D$22))*(1-Assumptions!$D$27)+((Assumptions!$D$6*(1+$A17)^5)*Assumptions!$D$22)-((Assumptions!$D$6*(1+$A17)^5)*Assumptions!$D$23)-(((Assumptions!$D$6*(1+$A17)^5)-(Assumptions!$D$6*(1+$A17)^4))*Assumptions!$D$24))/(1+WACC!$D$21)^5+(((Assumptions!$D$6*(1+$A17)^5)*Assumptions!$D$19)*Assumptions!$D$41/(1+WACC!$D$21)^5)</f>
        <v>55662.37488155251</v>
      </c>
      <c r="C17" s="19">
        <f t="shared" si="0"/>
        <v>-14961.12511844749</v>
      </c>
      <c r="D17" s="43">
        <f>(B17+Assumptions!$D$28)/Assumptions!$D$29</f>
        <v>2298.2892110412749</v>
      </c>
    </row>
    <row r="18" spans="1:4" ht="15" customHeight="1" x14ac:dyDescent="0.3">
      <c r="A18" s="42">
        <v>0.15</v>
      </c>
      <c r="B18" s="19">
        <f>((((Assumptions!$D$6*(1+$A18)^1)*(Assumptions!$D$14+(Assumptions!$D$19-Assumptions!$D$14)*1/5))-((Assumptions!$D$6*(1+$A18)^1)*Assumptions!$D$22))*(1-Assumptions!$D$27)+((Assumptions!$D$6*(1+$A18)^1)*Assumptions!$D$22)-((Assumptions!$D$6*(1+$A18)^1)*Assumptions!$D$23)-(((Assumptions!$D$6*(1+$A18)^1)-Assumptions!$D$6)*Assumptions!$D$24))/(1+WACC!$D$21)^1+((((Assumptions!$D$6*(1+$A18)^2)*(Assumptions!$D$14+(Assumptions!$D$19-Assumptions!$D$14)*2/5))-((Assumptions!$D$6*(1+$A18)^2)*Assumptions!$D$22))*(1-Assumptions!$D$27)+((Assumptions!$D$6*(1+$A18)^2)*Assumptions!$D$22)-((Assumptions!$D$6*(1+$A18)^2)*Assumptions!$D$23)-(((Assumptions!$D$6*(1+$A18)^2)-(Assumptions!$D$6*(1+$A18)^1))*Assumptions!$D$24))/(1+WACC!$D$21)^2+((((Assumptions!$D$6*(1+$A18)^3)*(Assumptions!$D$14+(Assumptions!$D$19-Assumptions!$D$14)*3/5))-((Assumptions!$D$6*(1+$A18)^3)*Assumptions!$D$22))*(1-Assumptions!$D$27)+((Assumptions!$D$6*(1+$A18)^3)*Assumptions!$D$22)-((Assumptions!$D$6*(1+$A18)^3)*Assumptions!$D$23)-(((Assumptions!$D$6*(1+$A18)^3)-(Assumptions!$D$6*(1+$A18)^2))*Assumptions!$D$24))/(1+WACC!$D$21)^3+((((Assumptions!$D$6*(1+$A18)^4)*(Assumptions!$D$14+(Assumptions!$D$19-Assumptions!$D$14)*4/5))-((Assumptions!$D$6*(1+$A18)^4)*Assumptions!$D$22))*(1-Assumptions!$D$27)+((Assumptions!$D$6*(1+$A18)^4)*Assumptions!$D$22)-((Assumptions!$D$6*(1+$A18)^4)*Assumptions!$D$23)-(((Assumptions!$D$6*(1+$A18)^4)-(Assumptions!$D$6*(1+$A18)^3))*Assumptions!$D$24))/(1+WACC!$D$21)^4+((((Assumptions!$D$6*(1+$A18)^5)*(Assumptions!$D$14+(Assumptions!$D$19-Assumptions!$D$14)*5/5))-((Assumptions!$D$6*(1+$A18)^5)*Assumptions!$D$22))*(1-Assumptions!$D$27)+((Assumptions!$D$6*(1+$A18)^5)*Assumptions!$D$22)-((Assumptions!$D$6*(1+$A18)^5)*Assumptions!$D$23)-(((Assumptions!$D$6*(1+$A18)^5)-(Assumptions!$D$6*(1+$A18)^4))*Assumptions!$D$24))/(1+WACC!$D$21)^5+(((Assumptions!$D$6*(1+$A18)^5)*Assumptions!$D$19)*Assumptions!$D$41/(1+WACC!$D$21)^5)</f>
        <v>63176.999450855947</v>
      </c>
      <c r="C18" s="19">
        <f t="shared" si="0"/>
        <v>-7446.5005491440534</v>
      </c>
      <c r="D18" s="43">
        <f>(B18+Assumptions!$D$28)/Assumptions!$D$29</f>
        <v>2592.9803706218017</v>
      </c>
    </row>
    <row r="19" spans="1:4" ht="15" customHeight="1" x14ac:dyDescent="0.3">
      <c r="A19" s="42">
        <v>0.18</v>
      </c>
      <c r="B19" s="19">
        <f>((((Assumptions!$D$6*(1+$A19)^1)*(Assumptions!$D$14+(Assumptions!$D$19-Assumptions!$D$14)*1/5))-((Assumptions!$D$6*(1+$A19)^1)*Assumptions!$D$22))*(1-Assumptions!$D$27)+((Assumptions!$D$6*(1+$A19)^1)*Assumptions!$D$22)-((Assumptions!$D$6*(1+$A19)^1)*Assumptions!$D$23)-(((Assumptions!$D$6*(1+$A19)^1)-Assumptions!$D$6)*Assumptions!$D$24))/(1+WACC!$D$21)^1+((((Assumptions!$D$6*(1+$A19)^2)*(Assumptions!$D$14+(Assumptions!$D$19-Assumptions!$D$14)*2/5))-((Assumptions!$D$6*(1+$A19)^2)*Assumptions!$D$22))*(1-Assumptions!$D$27)+((Assumptions!$D$6*(1+$A19)^2)*Assumptions!$D$22)-((Assumptions!$D$6*(1+$A19)^2)*Assumptions!$D$23)-(((Assumptions!$D$6*(1+$A19)^2)-(Assumptions!$D$6*(1+$A19)^1))*Assumptions!$D$24))/(1+WACC!$D$21)^2+((((Assumptions!$D$6*(1+$A19)^3)*(Assumptions!$D$14+(Assumptions!$D$19-Assumptions!$D$14)*3/5))-((Assumptions!$D$6*(1+$A19)^3)*Assumptions!$D$22))*(1-Assumptions!$D$27)+((Assumptions!$D$6*(1+$A19)^3)*Assumptions!$D$22)-((Assumptions!$D$6*(1+$A19)^3)*Assumptions!$D$23)-(((Assumptions!$D$6*(1+$A19)^3)-(Assumptions!$D$6*(1+$A19)^2))*Assumptions!$D$24))/(1+WACC!$D$21)^3+((((Assumptions!$D$6*(1+$A19)^4)*(Assumptions!$D$14+(Assumptions!$D$19-Assumptions!$D$14)*4/5))-((Assumptions!$D$6*(1+$A19)^4)*Assumptions!$D$22))*(1-Assumptions!$D$27)+((Assumptions!$D$6*(1+$A19)^4)*Assumptions!$D$22)-((Assumptions!$D$6*(1+$A19)^4)*Assumptions!$D$23)-(((Assumptions!$D$6*(1+$A19)^4)-(Assumptions!$D$6*(1+$A19)^3))*Assumptions!$D$24))/(1+WACC!$D$21)^4+((((Assumptions!$D$6*(1+$A19)^5)*(Assumptions!$D$14+(Assumptions!$D$19-Assumptions!$D$14)*5/5))-((Assumptions!$D$6*(1+$A19)^5)*Assumptions!$D$22))*(1-Assumptions!$D$27)+((Assumptions!$D$6*(1+$A19)^5)*Assumptions!$D$22)-((Assumptions!$D$6*(1+$A19)^5)*Assumptions!$D$23)-(((Assumptions!$D$6*(1+$A19)^5)-(Assumptions!$D$6*(1+$A19)^4))*Assumptions!$D$24))/(1+WACC!$D$21)^5+(((Assumptions!$D$6*(1+$A19)^5)*Assumptions!$D$19)*Assumptions!$D$41/(1+WACC!$D$21)^5)</f>
        <v>71500.037569104243</v>
      </c>
      <c r="C19" s="19">
        <f t="shared" si="0"/>
        <v>876.53756910424272</v>
      </c>
      <c r="D19" s="43">
        <f>(B19+Assumptions!$D$28)/Assumptions!$D$29</f>
        <v>2919.3740223178133</v>
      </c>
    </row>
    <row r="20" spans="1:4" ht="15" customHeight="1" x14ac:dyDescent="0.3">
      <c r="A20" s="42">
        <v>0.2</v>
      </c>
      <c r="B20" s="19">
        <f>((((Assumptions!$D$6*(1+$A20)^1)*(Assumptions!$D$14+(Assumptions!$D$19-Assumptions!$D$14)*1/5))-((Assumptions!$D$6*(1+$A20)^1)*Assumptions!$D$22))*(1-Assumptions!$D$27)+((Assumptions!$D$6*(1+$A20)^1)*Assumptions!$D$22)-((Assumptions!$D$6*(1+$A20)^1)*Assumptions!$D$23)-(((Assumptions!$D$6*(1+$A20)^1)-Assumptions!$D$6)*Assumptions!$D$24))/(1+WACC!$D$21)^1+((((Assumptions!$D$6*(1+$A20)^2)*(Assumptions!$D$14+(Assumptions!$D$19-Assumptions!$D$14)*2/5))-((Assumptions!$D$6*(1+$A20)^2)*Assumptions!$D$22))*(1-Assumptions!$D$27)+((Assumptions!$D$6*(1+$A20)^2)*Assumptions!$D$22)-((Assumptions!$D$6*(1+$A20)^2)*Assumptions!$D$23)-(((Assumptions!$D$6*(1+$A20)^2)-(Assumptions!$D$6*(1+$A20)^1))*Assumptions!$D$24))/(1+WACC!$D$21)^2+((((Assumptions!$D$6*(1+$A20)^3)*(Assumptions!$D$14+(Assumptions!$D$19-Assumptions!$D$14)*3/5))-((Assumptions!$D$6*(1+$A20)^3)*Assumptions!$D$22))*(1-Assumptions!$D$27)+((Assumptions!$D$6*(1+$A20)^3)*Assumptions!$D$22)-((Assumptions!$D$6*(1+$A20)^3)*Assumptions!$D$23)-(((Assumptions!$D$6*(1+$A20)^3)-(Assumptions!$D$6*(1+$A20)^2))*Assumptions!$D$24))/(1+WACC!$D$21)^3+((((Assumptions!$D$6*(1+$A20)^4)*(Assumptions!$D$14+(Assumptions!$D$19-Assumptions!$D$14)*4/5))-((Assumptions!$D$6*(1+$A20)^4)*Assumptions!$D$22))*(1-Assumptions!$D$27)+((Assumptions!$D$6*(1+$A20)^4)*Assumptions!$D$22)-((Assumptions!$D$6*(1+$A20)^4)*Assumptions!$D$23)-(((Assumptions!$D$6*(1+$A20)^4)-(Assumptions!$D$6*(1+$A20)^3))*Assumptions!$D$24))/(1+WACC!$D$21)^4+((((Assumptions!$D$6*(1+$A20)^5)*(Assumptions!$D$14+(Assumptions!$D$19-Assumptions!$D$14)*5/5))-((Assumptions!$D$6*(1+$A20)^5)*Assumptions!$D$22))*(1-Assumptions!$D$27)+((Assumptions!$D$6*(1+$A20)^5)*Assumptions!$D$22)-((Assumptions!$D$6*(1+$A20)^5)*Assumptions!$D$23)-(((Assumptions!$D$6*(1+$A20)^5)-(Assumptions!$D$6*(1+$A20)^4))*Assumptions!$D$24))/(1+WACC!$D$21)^5+(((Assumptions!$D$6*(1+$A20)^5)*Assumptions!$D$19)*Assumptions!$D$41/(1+WACC!$D$21)^5)</f>
        <v>77529.429181226515</v>
      </c>
      <c r="C20" s="19">
        <f t="shared" si="0"/>
        <v>6905.9291812265146</v>
      </c>
      <c r="D20" s="43">
        <f>(B20+Assumptions!$D$28)/Assumptions!$D$29</f>
        <v>3155.8207522049615</v>
      </c>
    </row>
    <row r="21" spans="1:4" ht="15" customHeight="1" x14ac:dyDescent="0.3">
      <c r="A21" s="42">
        <v>0.25</v>
      </c>
      <c r="B21" s="19">
        <f>((((Assumptions!$D$6*(1+$A21)^1)*(Assumptions!$D$14+(Assumptions!$D$19-Assumptions!$D$14)*1/5))-((Assumptions!$D$6*(1+$A21)^1)*Assumptions!$D$22))*(1-Assumptions!$D$27)+((Assumptions!$D$6*(1+$A21)^1)*Assumptions!$D$22)-((Assumptions!$D$6*(1+$A21)^1)*Assumptions!$D$23)-(((Assumptions!$D$6*(1+$A21)^1)-Assumptions!$D$6)*Assumptions!$D$24))/(1+WACC!$D$21)^1+((((Assumptions!$D$6*(1+$A21)^2)*(Assumptions!$D$14+(Assumptions!$D$19-Assumptions!$D$14)*2/5))-((Assumptions!$D$6*(1+$A21)^2)*Assumptions!$D$22))*(1-Assumptions!$D$27)+((Assumptions!$D$6*(1+$A21)^2)*Assumptions!$D$22)-((Assumptions!$D$6*(1+$A21)^2)*Assumptions!$D$23)-(((Assumptions!$D$6*(1+$A21)^2)-(Assumptions!$D$6*(1+$A21)^1))*Assumptions!$D$24))/(1+WACC!$D$21)^2+((((Assumptions!$D$6*(1+$A21)^3)*(Assumptions!$D$14+(Assumptions!$D$19-Assumptions!$D$14)*3/5))-((Assumptions!$D$6*(1+$A21)^3)*Assumptions!$D$22))*(1-Assumptions!$D$27)+((Assumptions!$D$6*(1+$A21)^3)*Assumptions!$D$22)-((Assumptions!$D$6*(1+$A21)^3)*Assumptions!$D$23)-(((Assumptions!$D$6*(1+$A21)^3)-(Assumptions!$D$6*(1+$A21)^2))*Assumptions!$D$24))/(1+WACC!$D$21)^3+((((Assumptions!$D$6*(1+$A21)^4)*(Assumptions!$D$14+(Assumptions!$D$19-Assumptions!$D$14)*4/5))-((Assumptions!$D$6*(1+$A21)^4)*Assumptions!$D$22))*(1-Assumptions!$D$27)+((Assumptions!$D$6*(1+$A21)^4)*Assumptions!$D$22)-((Assumptions!$D$6*(1+$A21)^4)*Assumptions!$D$23)-(((Assumptions!$D$6*(1+$A21)^4)-(Assumptions!$D$6*(1+$A21)^3))*Assumptions!$D$24))/(1+WACC!$D$21)^4+((((Assumptions!$D$6*(1+$A21)^5)*(Assumptions!$D$14+(Assumptions!$D$19-Assumptions!$D$14)*5/5))-((Assumptions!$D$6*(1+$A21)^5)*Assumptions!$D$22))*(1-Assumptions!$D$27)+((Assumptions!$D$6*(1+$A21)^5)*Assumptions!$D$22)-((Assumptions!$D$6*(1+$A21)^5)*Assumptions!$D$23)-(((Assumptions!$D$6*(1+$A21)^5)-(Assumptions!$D$6*(1+$A21)^4))*Assumptions!$D$24))/(1+WACC!$D$21)^5+(((Assumptions!$D$6*(1+$A21)^5)*Assumptions!$D$19)*Assumptions!$D$41/(1+WACC!$D$21)^5)</f>
        <v>94431.314392647793</v>
      </c>
      <c r="C21" s="19">
        <f t="shared" si="0"/>
        <v>23807.814392647793</v>
      </c>
      <c r="D21" s="43">
        <f>(B21+Assumptions!$D$28)/Assumptions!$D$29</f>
        <v>3818.6397801038352</v>
      </c>
    </row>
    <row r="22" spans="1:4" ht="15" customHeight="1" x14ac:dyDescent="0.3">
      <c r="A22" s="42">
        <v>0.3</v>
      </c>
      <c r="B22" s="19">
        <f>((((Assumptions!$D$6*(1+$A22)^1)*(Assumptions!$D$14+(Assumptions!$D$19-Assumptions!$D$14)*1/5))-((Assumptions!$D$6*(1+$A22)^1)*Assumptions!$D$22))*(1-Assumptions!$D$27)+((Assumptions!$D$6*(1+$A22)^1)*Assumptions!$D$22)-((Assumptions!$D$6*(1+$A22)^1)*Assumptions!$D$23)-(((Assumptions!$D$6*(1+$A22)^1)-Assumptions!$D$6)*Assumptions!$D$24))/(1+WACC!$D$21)^1+((((Assumptions!$D$6*(1+$A22)^2)*(Assumptions!$D$14+(Assumptions!$D$19-Assumptions!$D$14)*2/5))-((Assumptions!$D$6*(1+$A22)^2)*Assumptions!$D$22))*(1-Assumptions!$D$27)+((Assumptions!$D$6*(1+$A22)^2)*Assumptions!$D$22)-((Assumptions!$D$6*(1+$A22)^2)*Assumptions!$D$23)-(((Assumptions!$D$6*(1+$A22)^2)-(Assumptions!$D$6*(1+$A22)^1))*Assumptions!$D$24))/(1+WACC!$D$21)^2+((((Assumptions!$D$6*(1+$A22)^3)*(Assumptions!$D$14+(Assumptions!$D$19-Assumptions!$D$14)*3/5))-((Assumptions!$D$6*(1+$A22)^3)*Assumptions!$D$22))*(1-Assumptions!$D$27)+((Assumptions!$D$6*(1+$A22)^3)*Assumptions!$D$22)-((Assumptions!$D$6*(1+$A22)^3)*Assumptions!$D$23)-(((Assumptions!$D$6*(1+$A22)^3)-(Assumptions!$D$6*(1+$A22)^2))*Assumptions!$D$24))/(1+WACC!$D$21)^3+((((Assumptions!$D$6*(1+$A22)^4)*(Assumptions!$D$14+(Assumptions!$D$19-Assumptions!$D$14)*4/5))-((Assumptions!$D$6*(1+$A22)^4)*Assumptions!$D$22))*(1-Assumptions!$D$27)+((Assumptions!$D$6*(1+$A22)^4)*Assumptions!$D$22)-((Assumptions!$D$6*(1+$A22)^4)*Assumptions!$D$23)-(((Assumptions!$D$6*(1+$A22)^4)-(Assumptions!$D$6*(1+$A22)^3))*Assumptions!$D$24))/(1+WACC!$D$21)^4+((((Assumptions!$D$6*(1+$A22)^5)*(Assumptions!$D$14+(Assumptions!$D$19-Assumptions!$D$14)*5/5))-((Assumptions!$D$6*(1+$A22)^5)*Assumptions!$D$22))*(1-Assumptions!$D$27)+((Assumptions!$D$6*(1+$A22)^5)*Assumptions!$D$22)-((Assumptions!$D$6*(1+$A22)^5)*Assumptions!$D$23)-(((Assumptions!$D$6*(1+$A22)^5)-(Assumptions!$D$6*(1+$A22)^4))*Assumptions!$D$24))/(1+WACC!$D$21)^5+(((Assumptions!$D$6*(1+$A22)^5)*Assumptions!$D$19)*Assumptions!$D$41/(1+WACC!$D$21)^5)</f>
        <v>114211.30164010343</v>
      </c>
      <c r="C22" s="19">
        <f t="shared" si="0"/>
        <v>43587.801640103426</v>
      </c>
      <c r="D22" s="43">
        <f>(B22+Assumptions!$D$28)/Assumptions!$D$29</f>
        <v>4594.32555451386</v>
      </c>
    </row>
    <row r="23" spans="1:4" ht="15" customHeight="1" x14ac:dyDescent="0.3">
      <c r="A23" s="1"/>
      <c r="B23" s="1"/>
      <c r="C23" s="1"/>
      <c r="D23" s="1"/>
    </row>
    <row r="24" spans="1:4" ht="32.25" customHeight="1" x14ac:dyDescent="0.3">
      <c r="A24" s="10" t="s">
        <v>189</v>
      </c>
      <c r="B24" s="1"/>
      <c r="C24" s="1"/>
      <c r="D24" s="1"/>
    </row>
    <row r="25" spans="1:4" ht="21.75" customHeight="1" x14ac:dyDescent="0.3">
      <c r="A25" s="10" t="s">
        <v>190</v>
      </c>
      <c r="B25" s="1"/>
      <c r="C25" s="1"/>
      <c r="D25" s="1"/>
    </row>
    <row r="26" spans="1:4" ht="42.75" customHeight="1" x14ac:dyDescent="0.3">
      <c r="A26" s="10" t="s">
        <v>191</v>
      </c>
      <c r="B26" s="1"/>
      <c r="C26" s="1"/>
      <c r="D26" s="1"/>
    </row>
    <row r="27" spans="1:4" ht="42.75" customHeight="1" x14ac:dyDescent="0.3">
      <c r="A27" s="10" t="s">
        <v>192</v>
      </c>
      <c r="B27" s="1"/>
      <c r="C27" s="1"/>
      <c r="D27" s="1"/>
    </row>
  </sheetData>
  <mergeCells count="4">
    <mergeCell ref="A1:D1"/>
    <mergeCell ref="A2:D2"/>
    <mergeCell ref="A4:D4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showGridLines="0" tabSelected="1" zoomScaleNormal="100" workbookViewId="0">
      <selection activeCell="F19" sqref="F19"/>
    </sheetView>
  </sheetViews>
  <sheetFormatPr defaultColWidth="8.6640625" defaultRowHeight="14.4" x14ac:dyDescent="0.3"/>
  <cols>
    <col min="1" max="1" width="38" customWidth="1"/>
    <col min="2" max="4" width="12" customWidth="1"/>
    <col min="5" max="5" width="14" customWidth="1"/>
    <col min="6" max="6" width="32" customWidth="1"/>
  </cols>
  <sheetData>
    <row r="1" spans="1:6" ht="15.75" customHeight="1" x14ac:dyDescent="0.3">
      <c r="A1" s="46" t="s">
        <v>193</v>
      </c>
      <c r="B1" s="46"/>
      <c r="C1" s="46"/>
      <c r="D1" s="46"/>
      <c r="E1" s="46"/>
      <c r="F1" s="46"/>
    </row>
    <row r="2" spans="1:6" ht="15" customHeight="1" x14ac:dyDescent="0.3">
      <c r="A2" s="47" t="s">
        <v>194</v>
      </c>
      <c r="B2" s="47"/>
      <c r="C2" s="47"/>
      <c r="D2" s="47"/>
      <c r="E2" s="47"/>
      <c r="F2" s="47"/>
    </row>
    <row r="3" spans="1:6" ht="15" customHeight="1" x14ac:dyDescent="0.3">
      <c r="A3" s="1"/>
      <c r="B3" s="1"/>
      <c r="C3" s="1"/>
      <c r="D3" s="1"/>
      <c r="E3" s="1"/>
      <c r="F3" s="1"/>
    </row>
    <row r="4" spans="1:6" ht="15" customHeight="1" x14ac:dyDescent="0.3">
      <c r="A4" s="30" t="s">
        <v>195</v>
      </c>
      <c r="B4" s="7" t="s">
        <v>34</v>
      </c>
      <c r="C4" s="7" t="s">
        <v>35</v>
      </c>
      <c r="D4" s="7" t="s">
        <v>36</v>
      </c>
      <c r="E4" s="44" t="s">
        <v>196</v>
      </c>
      <c r="F4" s="44" t="s">
        <v>197</v>
      </c>
    </row>
    <row r="5" spans="1:6" ht="15" customHeight="1" x14ac:dyDescent="0.3">
      <c r="A5" s="6" t="s">
        <v>198</v>
      </c>
      <c r="B5" s="35">
        <f>'DCF Valuation'!C31</f>
        <v>857.46190805139645</v>
      </c>
      <c r="C5" s="35">
        <f>'DCF Valuation'!D31</f>
        <v>1422.6061096997564</v>
      </c>
      <c r="D5" s="35">
        <f>'DCF Valuation'!E31</f>
        <v>2221.0209064266523</v>
      </c>
      <c r="E5" s="40">
        <f>Assumptions!C30</f>
        <v>2885</v>
      </c>
      <c r="F5" s="10" t="s">
        <v>199</v>
      </c>
    </row>
    <row r="6" spans="1:6" ht="15" customHeight="1" x14ac:dyDescent="0.3">
      <c r="A6" s="6" t="s">
        <v>200</v>
      </c>
      <c r="B6" s="43">
        <f>(('DCF Valuation'!C9+'DCF Valuation'!C23)+Assumptions!C28)/Assumptions!C29</f>
        <v>1214.7111795819721</v>
      </c>
      <c r="C6" s="43">
        <f>(('DCF Valuation'!D9+'DCF Valuation'!D23)+Assumptions!D28)/Assumptions!D29</f>
        <v>2045.6149251990696</v>
      </c>
      <c r="D6" s="43">
        <f>(('DCF Valuation'!E9+'DCF Valuation'!E23)+Assumptions!E28)/Assumptions!E29</f>
        <v>3170.1689641547591</v>
      </c>
      <c r="E6" s="40">
        <f>Assumptions!C30</f>
        <v>2885</v>
      </c>
      <c r="F6" s="10" t="s">
        <v>201</v>
      </c>
    </row>
    <row r="7" spans="1:6" ht="32.25" customHeight="1" x14ac:dyDescent="0.3">
      <c r="A7" s="10" t="s">
        <v>202</v>
      </c>
      <c r="B7" s="1"/>
      <c r="C7" s="1"/>
      <c r="D7" s="1"/>
      <c r="E7" s="1"/>
      <c r="F7" s="1"/>
    </row>
    <row r="8" spans="1:6" ht="15" customHeight="1" x14ac:dyDescent="0.3">
      <c r="A8" s="1"/>
      <c r="B8" s="1"/>
      <c r="C8" s="1"/>
      <c r="D8" s="1"/>
      <c r="E8" s="1"/>
      <c r="F8" s="1"/>
    </row>
    <row r="9" spans="1:6" ht="15" customHeight="1" x14ac:dyDescent="0.3">
      <c r="A9" s="48" t="s">
        <v>203</v>
      </c>
      <c r="B9" s="48"/>
      <c r="C9" s="48"/>
      <c r="D9" s="48"/>
      <c r="E9" s="48"/>
      <c r="F9" s="48"/>
    </row>
    <row r="10" spans="1:6" ht="15" customHeight="1" x14ac:dyDescent="0.3">
      <c r="A10" s="18" t="s">
        <v>204</v>
      </c>
      <c r="B10" s="30" t="s">
        <v>34</v>
      </c>
      <c r="C10" s="30" t="s">
        <v>35</v>
      </c>
      <c r="D10" s="30" t="s">
        <v>36</v>
      </c>
      <c r="E10" s="18" t="s">
        <v>205</v>
      </c>
      <c r="F10" s="1"/>
    </row>
    <row r="11" spans="1:6" ht="15" customHeight="1" x14ac:dyDescent="0.3">
      <c r="A11" s="6" t="s">
        <v>206</v>
      </c>
      <c r="B11" s="23">
        <f>'Income Stmt'!G6</f>
        <v>2827.4036918399997</v>
      </c>
      <c r="C11" s="23">
        <f>'Income Stmt'!G21</f>
        <v>3572.317558656001</v>
      </c>
      <c r="D11" s="23">
        <f>'Income Stmt'!G36</f>
        <v>4425.4850196480011</v>
      </c>
      <c r="E11" s="45" t="s">
        <v>207</v>
      </c>
      <c r="F11" s="1"/>
    </row>
    <row r="12" spans="1:6" ht="15" customHeight="1" x14ac:dyDescent="0.3">
      <c r="A12" s="6" t="s">
        <v>208</v>
      </c>
      <c r="B12" s="24">
        <f>'Income Stmt'!G7</f>
        <v>0.56000000000000005</v>
      </c>
      <c r="C12" s="24">
        <f>'Income Stmt'!G22</f>
        <v>0.65</v>
      </c>
      <c r="D12" s="24">
        <f>'Income Stmt'!G37</f>
        <v>0.7</v>
      </c>
      <c r="E12" s="45" t="s">
        <v>207</v>
      </c>
      <c r="F12" s="1"/>
    </row>
    <row r="13" spans="1:6" ht="15" customHeight="1" x14ac:dyDescent="0.3">
      <c r="A13" s="6" t="s">
        <v>209</v>
      </c>
      <c r="B13" s="23">
        <f>'Income Stmt'!G8</f>
        <v>1583.3460674303999</v>
      </c>
      <c r="C13" s="23">
        <f>'Income Stmt'!G23</f>
        <v>2322.0064131264007</v>
      </c>
      <c r="D13" s="23">
        <f>'Income Stmt'!G38</f>
        <v>3097.8395137536004</v>
      </c>
      <c r="E13" s="45" t="s">
        <v>207</v>
      </c>
      <c r="F13" s="1"/>
    </row>
    <row r="14" spans="1:6" ht="15" customHeight="1" x14ac:dyDescent="0.3">
      <c r="A14" s="6" t="s">
        <v>139</v>
      </c>
      <c r="B14" s="20">
        <f>WACC!C21</f>
        <v>0.14578550000000001</v>
      </c>
      <c r="C14" s="20">
        <f>WACC!D21</f>
        <v>0.13089599999999998</v>
      </c>
      <c r="D14" s="20">
        <f>WACC!E21</f>
        <v>0.11749150000000001</v>
      </c>
      <c r="E14" s="45" t="s">
        <v>207</v>
      </c>
      <c r="F14" s="1"/>
    </row>
    <row r="15" spans="1:6" ht="15" customHeight="1" x14ac:dyDescent="0.3">
      <c r="A15" s="6" t="s">
        <v>210</v>
      </c>
      <c r="B15" s="23">
        <f>'DCF Valuation'!C27</f>
        <v>18921.278655310609</v>
      </c>
      <c r="C15" s="23">
        <f>'DCF Valuation'!D27</f>
        <v>33332.455797343791</v>
      </c>
      <c r="D15" s="23">
        <f>'DCF Valuation'!E27</f>
        <v>53692.033113879639</v>
      </c>
      <c r="E15" s="19">
        <f>Assumptions!C30*Assumptions!C29-Assumptions!C28</f>
        <v>70623.5</v>
      </c>
      <c r="F15" s="1"/>
    </row>
    <row r="16" spans="1:6" ht="15" customHeight="1" x14ac:dyDescent="0.3">
      <c r="A16" s="6" t="s">
        <v>167</v>
      </c>
      <c r="B16" s="35">
        <f>'DCF Valuation'!C31</f>
        <v>857.46190805139645</v>
      </c>
      <c r="C16" s="35">
        <f>'DCF Valuation'!D31</f>
        <v>1422.6061096997564</v>
      </c>
      <c r="D16" s="35">
        <f>'DCF Valuation'!E31</f>
        <v>2221.0209064266523</v>
      </c>
      <c r="E16" s="43">
        <f>Assumptions!C30</f>
        <v>2885</v>
      </c>
      <c r="F16" s="1"/>
    </row>
    <row r="17" spans="1:6" ht="15" customHeight="1" x14ac:dyDescent="0.3">
      <c r="A17" s="6" t="s">
        <v>211</v>
      </c>
      <c r="B17" s="24">
        <f>'DCF Valuation'!C33</f>
        <v>-0.70278616705324215</v>
      </c>
      <c r="C17" s="24">
        <f>'DCF Valuation'!D33</f>
        <v>-0.50689562922018849</v>
      </c>
      <c r="D17" s="24">
        <f>'DCF Valuation'!E33</f>
        <v>-0.23014873260774615</v>
      </c>
      <c r="E17" s="45" t="s">
        <v>207</v>
      </c>
      <c r="F17" s="1"/>
    </row>
    <row r="18" spans="1:6" ht="15" customHeight="1" x14ac:dyDescent="0.3">
      <c r="A18" s="1"/>
      <c r="B18" s="1"/>
      <c r="C18" s="1"/>
      <c r="D18" s="1"/>
      <c r="E18" s="1"/>
      <c r="F18" s="1"/>
    </row>
    <row r="19" spans="1:6" ht="63.75" customHeight="1" x14ac:dyDescent="0.3">
      <c r="A19" s="10" t="s">
        <v>212</v>
      </c>
      <c r="B19" s="1"/>
      <c r="C19" s="1"/>
      <c r="D19" s="1"/>
      <c r="E19" s="1"/>
      <c r="F19" s="1"/>
    </row>
    <row r="20" spans="1:6" ht="21.75" customHeight="1" x14ac:dyDescent="0.3">
      <c r="A20" s="10" t="s">
        <v>213</v>
      </c>
      <c r="B20" s="1"/>
      <c r="C20" s="1"/>
      <c r="D20" s="1"/>
      <c r="E20" s="1"/>
      <c r="F20" s="1"/>
    </row>
  </sheetData>
  <mergeCells count="3">
    <mergeCell ref="A1:F1"/>
    <mergeCell ref="A2:F2"/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Assumptions</vt:lpstr>
      <vt:lpstr>Income Stmt</vt:lpstr>
      <vt:lpstr>FCFF Build</vt:lpstr>
      <vt:lpstr>WACC</vt:lpstr>
      <vt:lpstr>DCF Valuation</vt:lpstr>
      <vt:lpstr>Sensitivity</vt:lpstr>
      <vt:lpstr>Reverse DCF</vt:lpstr>
      <vt:lpstr>Football 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S</dc:creator>
  <dc:description/>
  <cp:lastModifiedBy>PREETHAM S</cp:lastModifiedBy>
  <cp:revision>0</cp:revision>
  <dcterms:created xsi:type="dcterms:W3CDTF">2026-06-16T13:54:57Z</dcterms:created>
  <dcterms:modified xsi:type="dcterms:W3CDTF">2026-06-16T17:57:30Z</dcterms:modified>
  <dc:language>en-US</dc:language>
</cp:coreProperties>
</file>