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3363EE5-6D55-43F2-BC94-6B40E75660DE}" xr6:coauthVersionLast="47" xr6:coauthVersionMax="47" xr10:uidLastSave="{00000000-0000-0000-0000-000000000000}"/>
  <bookViews>
    <workbookView xWindow="-108" yWindow="-108" windowWidth="23256" windowHeight="13176" tabRatio="500" firstSheet="4" activeTab="4" xr2:uid="{00000000-000D-0000-FFFF-FFFF00000000}"/>
  </bookViews>
  <sheets>
    <sheet name="Read Me" sheetId="1" r:id="rId1"/>
    <sheet name="Assumptions" sheetId="2" r:id="rId2"/>
    <sheet name="Income Stmt" sheetId="3" r:id="rId3"/>
    <sheet name="PP&amp;E Schedule" sheetId="4" r:id="rId4"/>
    <sheet name="Debt Schedule" sheetId="5" r:id="rId5"/>
    <sheet name="Working Capital" sheetId="6" r:id="rId6"/>
    <sheet name="Balance Sheet" sheetId="7" r:id="rId7"/>
    <sheet name="Cash Flow" sheetId="8" r:id="rId8"/>
    <sheet name="Ratio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9" l="1"/>
  <c r="B8" i="9"/>
  <c r="B32" i="8"/>
  <c r="B25" i="9" s="1"/>
  <c r="B31" i="8"/>
  <c r="B24" i="9" s="1"/>
  <c r="C28" i="8"/>
  <c r="B27" i="8"/>
  <c r="B24" i="8"/>
  <c r="G23" i="8"/>
  <c r="F23" i="8"/>
  <c r="E23" i="8"/>
  <c r="D23" i="8"/>
  <c r="C23" i="8"/>
  <c r="B23" i="8"/>
  <c r="B17" i="8"/>
  <c r="B12" i="8"/>
  <c r="B36" i="7"/>
  <c r="B37" i="7" s="1"/>
  <c r="C32" i="7"/>
  <c r="B29" i="7"/>
  <c r="B38" i="7" s="1"/>
  <c r="B28" i="7"/>
  <c r="C27" i="7"/>
  <c r="C10" i="8" s="1"/>
  <c r="B23" i="7"/>
  <c r="G22" i="7"/>
  <c r="F22" i="7"/>
  <c r="E22" i="7"/>
  <c r="D22" i="7"/>
  <c r="C22" i="7"/>
  <c r="B16" i="7"/>
  <c r="G15" i="7"/>
  <c r="F15" i="7"/>
  <c r="E15" i="7"/>
  <c r="D15" i="7"/>
  <c r="C15" i="7"/>
  <c r="B11" i="7"/>
  <c r="B17" i="7" s="1"/>
  <c r="G10" i="7"/>
  <c r="F10" i="7"/>
  <c r="E10" i="7"/>
  <c r="D10" i="7"/>
  <c r="C10" i="7"/>
  <c r="B20" i="6"/>
  <c r="G16" i="6"/>
  <c r="F16" i="6"/>
  <c r="E16" i="6"/>
  <c r="D16" i="6"/>
  <c r="C16" i="6"/>
  <c r="B16" i="6"/>
  <c r="G11" i="6"/>
  <c r="F11" i="6"/>
  <c r="E11" i="6"/>
  <c r="D11" i="6"/>
  <c r="C11" i="6"/>
  <c r="B11" i="6"/>
  <c r="G7" i="6"/>
  <c r="F7" i="6"/>
  <c r="E7" i="6"/>
  <c r="D7" i="6"/>
  <c r="C7" i="6"/>
  <c r="B7" i="6"/>
  <c r="G15" i="5"/>
  <c r="F15" i="5"/>
  <c r="E15" i="5"/>
  <c r="D15" i="5"/>
  <c r="C15" i="5"/>
  <c r="B15" i="5"/>
  <c r="B11" i="5"/>
  <c r="B21" i="9" s="1"/>
  <c r="G9" i="5"/>
  <c r="G21" i="8" s="1"/>
  <c r="F9" i="5"/>
  <c r="F21" i="8" s="1"/>
  <c r="E9" i="5"/>
  <c r="E21" i="8" s="1"/>
  <c r="E24" i="8" s="1"/>
  <c r="D9" i="5"/>
  <c r="D21" i="8" s="1"/>
  <c r="D24" i="8" s="1"/>
  <c r="C9" i="5"/>
  <c r="C21" i="8" s="1"/>
  <c r="C24" i="8" s="1"/>
  <c r="D7" i="5"/>
  <c r="D11" i="5" s="1"/>
  <c r="C7" i="5"/>
  <c r="C11" i="5" s="1"/>
  <c r="B19" i="4"/>
  <c r="C16" i="4"/>
  <c r="D13" i="4" s="1"/>
  <c r="B16" i="4"/>
  <c r="C14" i="4"/>
  <c r="C19" i="3" s="1"/>
  <c r="C13" i="4"/>
  <c r="B10" i="4"/>
  <c r="C8" i="4"/>
  <c r="C7" i="4"/>
  <c r="C10" i="4" s="1"/>
  <c r="B20" i="3"/>
  <c r="B10" i="9" s="1"/>
  <c r="B16" i="3"/>
  <c r="B9" i="9" s="1"/>
  <c r="B11" i="3"/>
  <c r="B10" i="3"/>
  <c r="C9" i="3"/>
  <c r="C12" i="6" s="1"/>
  <c r="C17" i="6" s="1"/>
  <c r="C20" i="7" s="1"/>
  <c r="C7" i="3"/>
  <c r="C21" i="7" s="1"/>
  <c r="C11" i="8" s="1"/>
  <c r="C19" i="4" l="1"/>
  <c r="C14" i="7" s="1"/>
  <c r="C16" i="7" s="1"/>
  <c r="D7" i="4"/>
  <c r="D14" i="5"/>
  <c r="D16" i="5" s="1"/>
  <c r="D24" i="3" s="1"/>
  <c r="B27" i="9"/>
  <c r="E7" i="5"/>
  <c r="E11" i="5" s="1"/>
  <c r="C8" i="8"/>
  <c r="B19" i="9"/>
  <c r="C26" i="7"/>
  <c r="C28" i="7" s="1"/>
  <c r="B20" i="9"/>
  <c r="F24" i="8"/>
  <c r="C15" i="3"/>
  <c r="C10" i="3"/>
  <c r="C7" i="9"/>
  <c r="D7" i="3"/>
  <c r="B17" i="3"/>
  <c r="G24" i="8"/>
  <c r="D26" i="7"/>
  <c r="D28" i="7" s="1"/>
  <c r="C14" i="5"/>
  <c r="C16" i="5" s="1"/>
  <c r="C24" i="3" s="1"/>
  <c r="B21" i="3"/>
  <c r="C13" i="6"/>
  <c r="C9" i="7" s="1"/>
  <c r="C14" i="3"/>
  <c r="C23" i="7"/>
  <c r="C8" i="6"/>
  <c r="B16" i="9"/>
  <c r="C15" i="8"/>
  <c r="C17" i="8" s="1"/>
  <c r="C26" i="9"/>
  <c r="B26" i="3"/>
  <c r="B28" i="3" s="1"/>
  <c r="B40" i="7"/>
  <c r="D27" i="7"/>
  <c r="D32" i="7"/>
  <c r="C33" i="7"/>
  <c r="C29" i="7" l="1"/>
  <c r="E26" i="7"/>
  <c r="F7" i="5"/>
  <c r="F11" i="5" s="1"/>
  <c r="E14" i="5"/>
  <c r="E16" i="5" s="1"/>
  <c r="E24" i="3" s="1"/>
  <c r="E32" i="7"/>
  <c r="D15" i="3"/>
  <c r="D7" i="9"/>
  <c r="D14" i="4"/>
  <c r="D8" i="6"/>
  <c r="D9" i="3"/>
  <c r="D12" i="6" s="1"/>
  <c r="D14" i="3"/>
  <c r="E7" i="3"/>
  <c r="D8" i="4"/>
  <c r="D21" i="7"/>
  <c r="D11" i="8" s="1"/>
  <c r="D10" i="4"/>
  <c r="C20" i="6"/>
  <c r="C21" i="6" s="1"/>
  <c r="C9" i="8" s="1"/>
  <c r="C8" i="7"/>
  <c r="E27" i="7"/>
  <c r="D10" i="8"/>
  <c r="B11" i="9"/>
  <c r="B15" i="9"/>
  <c r="B29" i="3"/>
  <c r="B14" i="9"/>
  <c r="C8" i="9"/>
  <c r="C11" i="3"/>
  <c r="C16" i="3"/>
  <c r="D8" i="7" l="1"/>
  <c r="C20" i="9"/>
  <c r="C9" i="9"/>
  <c r="C17" i="3"/>
  <c r="C20" i="3"/>
  <c r="D19" i="3"/>
  <c r="D8" i="8"/>
  <c r="D16" i="4"/>
  <c r="E13" i="4" s="1"/>
  <c r="D10" i="3"/>
  <c r="D19" i="4"/>
  <c r="D14" i="7" s="1"/>
  <c r="D16" i="7" s="1"/>
  <c r="E7" i="4"/>
  <c r="E10" i="4" s="1"/>
  <c r="D17" i="6"/>
  <c r="D20" i="7" s="1"/>
  <c r="D23" i="7" s="1"/>
  <c r="D29" i="7" s="1"/>
  <c r="D13" i="6"/>
  <c r="D9" i="7" s="1"/>
  <c r="G14" i="5"/>
  <c r="G16" i="5" s="1"/>
  <c r="G24" i="3" s="1"/>
  <c r="F26" i="7"/>
  <c r="G7" i="5"/>
  <c r="G11" i="5" s="1"/>
  <c r="E28" i="7"/>
  <c r="F14" i="5"/>
  <c r="F16" i="5" s="1"/>
  <c r="F24" i="3" s="1"/>
  <c r="E7" i="9"/>
  <c r="E8" i="6"/>
  <c r="E9" i="3"/>
  <c r="E12" i="6" s="1"/>
  <c r="E14" i="3"/>
  <c r="E8" i="4"/>
  <c r="F7" i="3"/>
  <c r="E21" i="7"/>
  <c r="E11" i="8" s="1"/>
  <c r="E15" i="3"/>
  <c r="E14" i="4"/>
  <c r="E10" i="3"/>
  <c r="F32" i="7"/>
  <c r="F27" i="7"/>
  <c r="E10" i="8"/>
  <c r="D26" i="9"/>
  <c r="D15" i="8"/>
  <c r="D17" i="8" s="1"/>
  <c r="F7" i="4" l="1"/>
  <c r="D8" i="9"/>
  <c r="D11" i="3"/>
  <c r="D16" i="3"/>
  <c r="G32" i="7"/>
  <c r="E8" i="9"/>
  <c r="E16" i="3"/>
  <c r="E11" i="3"/>
  <c r="E16" i="4"/>
  <c r="F13" i="4" s="1"/>
  <c r="F16" i="4" s="1"/>
  <c r="G13" i="4" s="1"/>
  <c r="E19" i="3"/>
  <c r="E8" i="8"/>
  <c r="F7" i="9"/>
  <c r="F14" i="3"/>
  <c r="F10" i="3"/>
  <c r="G7" i="3"/>
  <c r="F21" i="7"/>
  <c r="F11" i="8" s="1"/>
  <c r="F8" i="4"/>
  <c r="F14" i="4"/>
  <c r="F15" i="3"/>
  <c r="F8" i="6"/>
  <c r="F9" i="3"/>
  <c r="F12" i="6" s="1"/>
  <c r="E8" i="7"/>
  <c r="E26" i="9"/>
  <c r="E15" i="8"/>
  <c r="E17" i="8" s="1"/>
  <c r="E13" i="6"/>
  <c r="E9" i="7" s="1"/>
  <c r="E17" i="6"/>
  <c r="E20" i="7" s="1"/>
  <c r="E23" i="7" s="1"/>
  <c r="E29" i="7" s="1"/>
  <c r="C10" i="9"/>
  <c r="C21" i="3"/>
  <c r="C26" i="3"/>
  <c r="G26" i="7"/>
  <c r="G27" i="7"/>
  <c r="G10" i="8" s="1"/>
  <c r="F10" i="8"/>
  <c r="F28" i="7"/>
  <c r="D20" i="6"/>
  <c r="D21" i="6" s="1"/>
  <c r="D9" i="8" s="1"/>
  <c r="F11" i="3" l="1"/>
  <c r="F16" i="3"/>
  <c r="F8" i="9"/>
  <c r="E20" i="9"/>
  <c r="E17" i="3"/>
  <c r="E20" i="3"/>
  <c r="E9" i="9"/>
  <c r="E20" i="6"/>
  <c r="E21" i="6" s="1"/>
  <c r="E9" i="8" s="1"/>
  <c r="D20" i="9"/>
  <c r="D9" i="9"/>
  <c r="D17" i="3"/>
  <c r="D20" i="3"/>
  <c r="F20" i="6"/>
  <c r="F21" i="6" s="1"/>
  <c r="F9" i="8" s="1"/>
  <c r="F8" i="7"/>
  <c r="F8" i="8"/>
  <c r="F19" i="3"/>
  <c r="F13" i="6"/>
  <c r="F9" i="7" s="1"/>
  <c r="F17" i="6"/>
  <c r="F20" i="7" s="1"/>
  <c r="F23" i="7" s="1"/>
  <c r="F29" i="7" s="1"/>
  <c r="G28" i="7"/>
  <c r="F26" i="9"/>
  <c r="F15" i="8"/>
  <c r="F17" i="8" s="1"/>
  <c r="C28" i="3"/>
  <c r="C27" i="3"/>
  <c r="F10" i="4"/>
  <c r="G14" i="3"/>
  <c r="G21" i="7"/>
  <c r="G11" i="8" s="1"/>
  <c r="G7" i="9"/>
  <c r="G8" i="4"/>
  <c r="G14" i="4"/>
  <c r="G16" i="4" s="1"/>
  <c r="G9" i="3"/>
  <c r="G12" i="6" s="1"/>
  <c r="G8" i="6"/>
  <c r="G10" i="3"/>
  <c r="G15" i="3"/>
  <c r="E19" i="4"/>
  <c r="E14" i="7" s="1"/>
  <c r="E16" i="7" s="1"/>
  <c r="G26" i="9" l="1"/>
  <c r="G15" i="8"/>
  <c r="G17" i="8" s="1"/>
  <c r="D10" i="9"/>
  <c r="D26" i="3"/>
  <c r="D21" i="3"/>
  <c r="C11" i="9"/>
  <c r="C29" i="3"/>
  <c r="C7" i="8"/>
  <c r="C12" i="8" s="1"/>
  <c r="C34" i="7"/>
  <c r="C36" i="7" s="1"/>
  <c r="F19" i="4"/>
  <c r="F14" i="7" s="1"/>
  <c r="F16" i="7" s="1"/>
  <c r="G7" i="4"/>
  <c r="G10" i="4" s="1"/>
  <c r="G19" i="4" s="1"/>
  <c r="G14" i="7" s="1"/>
  <c r="G16" i="7" s="1"/>
  <c r="E21" i="3"/>
  <c r="E26" i="3"/>
  <c r="E10" i="9"/>
  <c r="G8" i="9"/>
  <c r="G11" i="3"/>
  <c r="G16" i="3"/>
  <c r="F17" i="3"/>
  <c r="F20" i="9"/>
  <c r="F9" i="9"/>
  <c r="F20" i="3"/>
  <c r="G8" i="8"/>
  <c r="G19" i="3"/>
  <c r="G8" i="7"/>
  <c r="G13" i="6"/>
  <c r="G9" i="7" s="1"/>
  <c r="G17" i="6"/>
  <c r="G20" i="7" s="1"/>
  <c r="G23" i="7" s="1"/>
  <c r="G29" i="7" s="1"/>
  <c r="E27" i="3" l="1"/>
  <c r="E28" i="3"/>
  <c r="G20" i="6"/>
  <c r="G21" i="6" s="1"/>
  <c r="G9" i="8" s="1"/>
  <c r="C27" i="9"/>
  <c r="C27" i="8"/>
  <c r="C29" i="8" s="1"/>
  <c r="C7" i="7" s="1"/>
  <c r="C32" i="8"/>
  <c r="C25" i="9" s="1"/>
  <c r="C31" i="8"/>
  <c r="C24" i="9" s="1"/>
  <c r="D27" i="3"/>
  <c r="D28" i="3"/>
  <c r="F21" i="3"/>
  <c r="F10" i="9"/>
  <c r="F26" i="3"/>
  <c r="D33" i="7"/>
  <c r="C37" i="7"/>
  <c r="G17" i="3"/>
  <c r="G9" i="9"/>
  <c r="G20" i="3"/>
  <c r="G20" i="9"/>
  <c r="D7" i="8" l="1"/>
  <c r="D12" i="8" s="1"/>
  <c r="D29" i="3"/>
  <c r="D34" i="7"/>
  <c r="D11" i="9"/>
  <c r="C21" i="9"/>
  <c r="C38" i="7"/>
  <c r="C14" i="9"/>
  <c r="G10" i="9"/>
  <c r="G21" i="3"/>
  <c r="G26" i="3"/>
  <c r="F27" i="3"/>
  <c r="F28" i="3"/>
  <c r="D36" i="7"/>
  <c r="D28" i="8"/>
  <c r="C11" i="7"/>
  <c r="C17" i="7" s="1"/>
  <c r="C19" i="9"/>
  <c r="E34" i="7"/>
  <c r="E11" i="9"/>
  <c r="E7" i="8"/>
  <c r="E12" i="8" s="1"/>
  <c r="E29" i="3"/>
  <c r="F34" i="7" l="1"/>
  <c r="F11" i="9"/>
  <c r="F29" i="3"/>
  <c r="F7" i="8"/>
  <c r="F12" i="8" s="1"/>
  <c r="E31" i="8"/>
  <c r="E24" i="9" s="1"/>
  <c r="E27" i="8"/>
  <c r="E27" i="9"/>
  <c r="E32" i="8"/>
  <c r="E25" i="9" s="1"/>
  <c r="C40" i="7"/>
  <c r="C16" i="9"/>
  <c r="C15" i="9"/>
  <c r="E33" i="7"/>
  <c r="E36" i="7" s="1"/>
  <c r="D37" i="7"/>
  <c r="G27" i="3"/>
  <c r="G28" i="3" s="1"/>
  <c r="D31" i="8"/>
  <c r="D24" i="9" s="1"/>
  <c r="D27" i="8"/>
  <c r="D29" i="8" s="1"/>
  <c r="D7" i="7" s="1"/>
  <c r="D27" i="9"/>
  <c r="D32" i="8"/>
  <c r="D25" i="9" s="1"/>
  <c r="E28" i="8" l="1"/>
  <c r="E29" i="8" s="1"/>
  <c r="E7" i="7" s="1"/>
  <c r="D11" i="7"/>
  <c r="D17" i="7" s="1"/>
  <c r="D19" i="9"/>
  <c r="G11" i="9"/>
  <c r="G7" i="8"/>
  <c r="G12" i="8" s="1"/>
  <c r="G34" i="7"/>
  <c r="G29" i="3"/>
  <c r="D21" i="9"/>
  <c r="D38" i="7"/>
  <c r="D14" i="9"/>
  <c r="F33" i="7"/>
  <c r="F36" i="7" s="1"/>
  <c r="E37" i="7"/>
  <c r="F31" i="8"/>
  <c r="F24" i="9" s="1"/>
  <c r="F27" i="8"/>
  <c r="F27" i="9"/>
  <c r="F32" i="8"/>
  <c r="F25" i="9" s="1"/>
  <c r="E21" i="9" l="1"/>
  <c r="E38" i="7"/>
  <c r="E14" i="9"/>
  <c r="G33" i="7"/>
  <c r="G36" i="7" s="1"/>
  <c r="G37" i="7" s="1"/>
  <c r="F37" i="7"/>
  <c r="G27" i="9"/>
  <c r="G32" i="8"/>
  <c r="G25" i="9" s="1"/>
  <c r="G27" i="8"/>
  <c r="G31" i="8"/>
  <c r="G24" i="9" s="1"/>
  <c r="D40" i="7"/>
  <c r="D16" i="9"/>
  <c r="D15" i="9"/>
  <c r="F28" i="8"/>
  <c r="F29" i="8" s="1"/>
  <c r="F7" i="7" s="1"/>
  <c r="E11" i="7"/>
  <c r="E17" i="7" s="1"/>
  <c r="E19" i="9"/>
  <c r="G28" i="8" l="1"/>
  <c r="G29" i="8" s="1"/>
  <c r="G7" i="7" s="1"/>
  <c r="F11" i="7"/>
  <c r="F17" i="7" s="1"/>
  <c r="F19" i="9"/>
  <c r="F21" i="9"/>
  <c r="F38" i="7"/>
  <c r="F14" i="9"/>
  <c r="E40" i="7"/>
  <c r="E16" i="9"/>
  <c r="E15" i="9"/>
  <c r="G21" i="9"/>
  <c r="G38" i="7"/>
  <c r="G14" i="9"/>
  <c r="F40" i="7" l="1"/>
  <c r="F16" i="9"/>
  <c r="F15" i="9"/>
  <c r="G11" i="7"/>
  <c r="G17" i="7" s="1"/>
  <c r="G19" i="9"/>
  <c r="G40" i="7" l="1"/>
  <c r="G16" i="9"/>
  <c r="G15" i="9"/>
</calcChain>
</file>

<file path=xl/sharedStrings.xml><?xml version="1.0" encoding="utf-8"?>
<sst xmlns="http://schemas.openxmlformats.org/spreadsheetml/2006/main" count="269" uniqueCount="217">
  <si>
    <t>3-Statement Financial Model — Arjun Steel &amp; Engineering Ltd</t>
  </si>
  <si>
    <t>Day 21 · 30 Days of AI Finance · Week 3 Closer · ₹ Crores</t>
  </si>
  <si>
    <t>WHAT THIS IS</t>
  </si>
  <si>
    <t>An integrated 3-Statement Financial Model — the foundation of all corporate finance work.</t>
  </si>
  <si>
    <t>The Income Statement, Balance Sheet, and Cash Flow Statement are fully linked:</t>
  </si>
  <si>
    <t xml:space="preserve">  Net Income → Retained Earnings → Equity on the Balance Sheet</t>
  </si>
  <si>
    <t xml:space="preserve">  D&amp;A → Accumulated Depreciation → Net PP&amp;E on the Balance Sheet</t>
  </si>
  <si>
    <t xml:space="preserve">  Ending Cash on Cash Flow Statement = Cash on Balance Sheet</t>
  </si>
  <si>
    <t xml:space="preserve">  The Balance Sheet balances (Assets = Liabilities + Equity) in every year — verified by CHECK row</t>
  </si>
  <si>
    <t>WHY THIS MODEL IS DIFFERENT</t>
  </si>
  <si>
    <t>1. Fully integrated — all three statements genuinely linked, not independent tables</t>
  </si>
  <si>
    <t>2. WSP-standard color coding: Blue=input, Black=formula, Green=cross-sheet link</t>
  </si>
  <si>
    <t>3. Supporting schedules: PP&amp;E roll-forward (BASE method), Debt schedule, Working Capital</t>
  </si>
  <si>
    <t>4. Balance check in every period — model won't hide errors</t>
  </si>
  <si>
    <t>5. Cash Flow built via indirect method (starts with Net Income, adds back non-cash)</t>
  </si>
  <si>
    <t>6. FCFF and FCFE computed as output for use in DCF models</t>
  </si>
  <si>
    <t>7. Sign convention: Income positive, Expenses negative (WSP Convention 1)</t>
  </si>
  <si>
    <t>FICTIONAL COMPANY</t>
  </si>
  <si>
    <t>Arjun Steel &amp; Engineering Ltd — fictional Indian mid-market steel fabricator.</t>
  </si>
  <si>
    <t>Capital-intensive business with meaningful PP&amp;E, working capital, and debt.</t>
  </si>
  <si>
    <t>Revenue ₹600 Cr base, growing 8-12% over 5 years, EBITDA margins expanding 18%→22%.</t>
  </si>
  <si>
    <t>ALL figures in ₹ Crores unless stated. NOT a real company. Not investment advice.</t>
  </si>
  <si>
    <t>SHEET GUIDE</t>
  </si>
  <si>
    <t>Read Me        — this page</t>
  </si>
  <si>
    <t>Assumptions    — all blue input cells (change here, everything else updates)</t>
  </si>
  <si>
    <t>Income Stmt    — Revenue → Gross Profit → EBITDA → EBIT → EBT → Net Income</t>
  </si>
  <si>
    <t>PP&amp;E Schedule  — gross PP&amp;E + capex - disposals - depreciation = net PP&amp;E (BASE method)</t>
  </si>
  <si>
    <t>Debt Schedule  — opening debt + draws - repayments = closing debt; interest expense</t>
  </si>
  <si>
    <t>Working Capital — receivables, inventory, payables roll-forward; delta NWC for cash flow</t>
  </si>
  <si>
    <t>Balance Sheet  — fully linked from supporting schedules; CHECK row must always show 0</t>
  </si>
  <si>
    <t>Cash Flow      — indirect method: Net Income → Operating → Investing → Financing → Ending Cash</t>
  </si>
  <si>
    <t>Ratios         — key financial ratios and credit metrics computed from the 3 statements</t>
  </si>
  <si>
    <t>COLOR CONVENTION (WSP Standard)</t>
  </si>
  <si>
    <t>Blue text + yellow fill  = hardcoded input (these are the cells you change)</t>
  </si>
  <si>
    <t>Black text               = formula on this sheet</t>
  </si>
  <si>
    <t>Green text               = cross-sheet formula link</t>
  </si>
  <si>
    <t>Navy background          = historical period (Y0)</t>
  </si>
  <si>
    <t>IMPORTANT: THE BALANCE SHEET MUST ALWAYS BALANCE</t>
  </si>
  <si>
    <t>Check the 'CHECK' row on the Balance Sheet — it must show 0.0 in every column.</t>
  </si>
  <si>
    <t>If it shows a non-zero value, a formula error exists and must be fixed before use.</t>
  </si>
  <si>
    <t>The model is verified to balance on build. If you change inputs and it breaks, check</t>
  </si>
  <si>
    <t>that you haven't accidentally overwritten a formula cell (blue cells only are safe to edit).</t>
  </si>
  <si>
    <t>Model Assumptions — Arjun Steel &amp; Engineering Ltd</t>
  </si>
  <si>
    <t>Blue cells are inputs. All other sheets link to this sheet.</t>
  </si>
  <si>
    <t>Y0 (Base)</t>
  </si>
  <si>
    <t>Y1</t>
  </si>
  <si>
    <t>Y2</t>
  </si>
  <si>
    <t>Y3</t>
  </si>
  <si>
    <t>Y4</t>
  </si>
  <si>
    <t>Y5</t>
  </si>
  <si>
    <t>Notes</t>
  </si>
  <si>
    <t>P&amp;L DRIVERS</t>
  </si>
  <si>
    <t>Revenue Growth %</t>
  </si>
  <si>
    <t>YoY growth</t>
  </si>
  <si>
    <t>COGS % of Revenue</t>
  </si>
  <si>
    <t>Gross margin driver</t>
  </si>
  <si>
    <t>R&amp;D % of Revenue</t>
  </si>
  <si>
    <t>SG&amp;A % of Revenue</t>
  </si>
  <si>
    <t>EBITDA Margin % (check)</t>
  </si>
  <si>
    <t>Derived — verify vs above</t>
  </si>
  <si>
    <t>D&amp;A % of Revenue</t>
  </si>
  <si>
    <t>Applies to IS; PP&amp;E schedule drives BS</t>
  </si>
  <si>
    <t>Tax Rate</t>
  </si>
  <si>
    <t>Indian new regime corporate tax</t>
  </si>
  <si>
    <t>BALANCE SHEET DRIVERS</t>
  </si>
  <si>
    <t>Receivables Days</t>
  </si>
  <si>
    <t>Revenue / 365 × days</t>
  </si>
  <si>
    <t>Inventory Days</t>
  </si>
  <si>
    <t>COGS / 365 × days</t>
  </si>
  <si>
    <t>Payables Days</t>
  </si>
  <si>
    <t>Minimum Cash Balance</t>
  </si>
  <si>
    <t>Cash floor; revolver draws if needed</t>
  </si>
  <si>
    <t>PP&amp;E SCHEDULE</t>
  </si>
  <si>
    <t>Capex % of Revenue</t>
  </si>
  <si>
    <t>Depreciation Life (yrs)</t>
  </si>
  <si>
    <t>Straight-line; D&amp;A = Gross PP&amp;E / life</t>
  </si>
  <si>
    <t>DEBT &amp; FINANCING</t>
  </si>
  <si>
    <t>Interest Rate on Debt</t>
  </si>
  <si>
    <t>Applied to avg debt balance</t>
  </si>
  <si>
    <t>Mandatory Debt Repayment</t>
  </si>
  <si>
    <t>₹ Cr per year, senior term loan</t>
  </si>
  <si>
    <t>Company: Arjun Steel &amp; Engineering Ltd — FICTIONAL. Not a real company. Not investment advice.</t>
  </si>
  <si>
    <t>Income Statement — Arjun Steel &amp; Engineering Ltd</t>
  </si>
  <si>
    <t>₹ Crores · Sign Convention: Income +, Expenses − (WSP Conv. 1)</t>
  </si>
  <si>
    <t>REVENUE</t>
  </si>
  <si>
    <t>Revenue</t>
  </si>
  <si>
    <t>COGS</t>
  </si>
  <si>
    <t>Gross Profit</t>
  </si>
  <si>
    <t>Gross Margin %</t>
  </si>
  <si>
    <t>OPERATING EXPENSES</t>
  </si>
  <si>
    <t>R&amp;D Expense</t>
  </si>
  <si>
    <t>SG&amp;A Expense</t>
  </si>
  <si>
    <t>EBITDA</t>
  </si>
  <si>
    <t>EBITDA Margin %</t>
  </si>
  <si>
    <t>D&amp;A (from PP&amp;E Schedule)</t>
  </si>
  <si>
    <t>EBIT (Operating Income)</t>
  </si>
  <si>
    <t>EBIT Margin %</t>
  </si>
  <si>
    <t>BELOW THE LINE</t>
  </si>
  <si>
    <t>Interest Expense (from Debt Schedule)</t>
  </si>
  <si>
    <t>Other Income / (Expense)</t>
  </si>
  <si>
    <t>EBT (Pre-Tax Income)</t>
  </si>
  <si>
    <t>Income Tax (25%)</t>
  </si>
  <si>
    <t>Net Income</t>
  </si>
  <si>
    <t>Net Margin %</t>
  </si>
  <si>
    <t>PP&amp;E Roll-Forward Schedule — Arjun Steel &amp; Engineering Ltd</t>
  </si>
  <si>
    <t>BASE Method: Beginning + Additions − Disposals = Ending · ₹ Crores</t>
  </si>
  <si>
    <t>GROSS PP&amp;E (AT COST)</t>
  </si>
  <si>
    <t>Opening Gross PP&amp;E</t>
  </si>
  <si>
    <t>Add: Capex</t>
  </si>
  <si>
    <t>Less: Disposals (assume nil)</t>
  </si>
  <si>
    <t>Closing Gross PP&amp;E</t>
  </si>
  <si>
    <t>ACCUMULATED DEPRECIATION</t>
  </si>
  <si>
    <t>Opening Accum. Depreciation</t>
  </si>
  <si>
    <t>Add: Depreciation Charge</t>
  </si>
  <si>
    <t>Less: Accum Dep on Disposals</t>
  </si>
  <si>
    <t>Closing Accum. Depreciation</t>
  </si>
  <si>
    <t>NET PP&amp;E (for Balance Sheet)</t>
  </si>
  <si>
    <t>Net PP&amp;E = Gross − Accum Dep</t>
  </si>
  <si>
    <t>Debt Schedule — Arjun Steel &amp; Engineering Ltd</t>
  </si>
  <si>
    <t>₹ Crores · Interest on average debt balance · Senior Term Loan</t>
  </si>
  <si>
    <t>SENIOR TERM LOAN</t>
  </si>
  <si>
    <t>Opening Debt Balance</t>
  </si>
  <si>
    <t>Add: New Borrowings</t>
  </si>
  <si>
    <t>Less: Mandatory Repayment</t>
  </si>
  <si>
    <t>Add: Cash Sweep (excess cash)</t>
  </si>
  <si>
    <t>Closing Debt Balance</t>
  </si>
  <si>
    <t>INTEREST EXPENSE</t>
  </si>
  <si>
    <t>Average Debt Balance</t>
  </si>
  <si>
    <t>Interest Rate</t>
  </si>
  <si>
    <t>Interest Expense (positive = expense)</t>
  </si>
  <si>
    <t>Working Capital Schedule — Arjun Steel &amp; Engineering Ltd</t>
  </si>
  <si>
    <t>₹ Crores · Receivables/Inventory increase = cash use (negative); Payables increase = cash source</t>
  </si>
  <si>
    <t>RECEIVABLES</t>
  </si>
  <si>
    <t>Ending Receivables</t>
  </si>
  <si>
    <t>INVENTORY</t>
  </si>
  <si>
    <t>COGS (absolute, positive)</t>
  </si>
  <si>
    <t>Ending Inventory</t>
  </si>
  <si>
    <t>ACCOUNTS PAYABLE</t>
  </si>
  <si>
    <t>Ending Payables</t>
  </si>
  <si>
    <t>NET WORKING CAPITAL &amp; DELTA NWC</t>
  </si>
  <si>
    <t>Net Working Capital (Rec+Inv-Pay)</t>
  </si>
  <si>
    <t>Change in NWC (Δ NWC)</t>
  </si>
  <si>
    <t>Note: Negative = NWC increase = cash outflow</t>
  </si>
  <si>
    <t>Balance Sheet — Arjun Steel &amp; Engineering Ltd</t>
  </si>
  <si>
    <t>₹ Crores · All line items linked from supporting schedules · CHECK must = 0.0 in all periods</t>
  </si>
  <si>
    <t>CURRENT ASSETS</t>
  </si>
  <si>
    <t>Cash &amp; Cash Equivalents</t>
  </si>
  <si>
    <t>Accounts Receivable</t>
  </si>
  <si>
    <t>Inventory</t>
  </si>
  <si>
    <t>Prepaid &amp; Other Current Assets</t>
  </si>
  <si>
    <t>Total Current Assets</t>
  </si>
  <si>
    <t>NON-CURRENT ASSETS</t>
  </si>
  <si>
    <t>Net PP&amp;E</t>
  </si>
  <si>
    <t>Intangible Assets &amp; Others</t>
  </si>
  <si>
    <t>Total Non-Current Assets</t>
  </si>
  <si>
    <t>TOTAL ASSETS</t>
  </si>
  <si>
    <t>CURRENT LIABILITIES</t>
  </si>
  <si>
    <t>Accounts Payable</t>
  </si>
  <si>
    <t>Accrued Liabilities</t>
  </si>
  <si>
    <t>Current Portion of Debt</t>
  </si>
  <si>
    <t>Total Current Liabilities</t>
  </si>
  <si>
    <t>NON-CURRENT LIABILITIES</t>
  </si>
  <si>
    <t>Long-Term Debt</t>
  </si>
  <si>
    <t>Deferred Tax Liability</t>
  </si>
  <si>
    <t>Total Non-Current Liabilities</t>
  </si>
  <si>
    <t>TOTAL LIABILITIES</t>
  </si>
  <si>
    <t>SHAREHOLDERS' EQUITY</t>
  </si>
  <si>
    <t>Share Capital</t>
  </si>
  <si>
    <t>Retained Earnings (Opening)</t>
  </si>
  <si>
    <t>Add: Net Income</t>
  </si>
  <si>
    <t>Less: Dividends</t>
  </si>
  <si>
    <t>Closing Retained Earnings</t>
  </si>
  <si>
    <t>TOTAL EQUITY</t>
  </si>
  <si>
    <t>TOTAL LIABILITIES + EQUITY</t>
  </si>
  <si>
    <t>⚡ BALANCE CHECK (must = 0.0 in all periods)</t>
  </si>
  <si>
    <t>If CHECK ≠ 0: a formula error exists. Cash Flow or Equity linkage is broken.</t>
  </si>
  <si>
    <t>Cash Flow Statement — Arjun Steel &amp; Engineering Ltd</t>
  </si>
  <si>
    <t>₹ Crores · Indirect Method · Operating + Investing + Financing = Net Change in Cash</t>
  </si>
  <si>
    <t>OPERATING ACTIVITIES</t>
  </si>
  <si>
    <t>Add: D&amp;A (non-cash)</t>
  </si>
  <si>
    <t>Change in Working Capital (Δ NWC)</t>
  </si>
  <si>
    <t>Change in Deferred Tax</t>
  </si>
  <si>
    <t>Change in Accrued Liabilities</t>
  </si>
  <si>
    <t>Cash from Operating Activities</t>
  </si>
  <si>
    <t>INVESTING ACTIVITIES</t>
  </si>
  <si>
    <t>Capital Expenditure (Capex)</t>
  </si>
  <si>
    <t>Proceeds from Asset Disposals</t>
  </si>
  <si>
    <t>Cash from Investing Activities</t>
  </si>
  <si>
    <t>FINANCING ACTIVITIES</t>
  </si>
  <si>
    <t>New Debt Raised</t>
  </si>
  <si>
    <t>Debt Repayment</t>
  </si>
  <si>
    <t>Equity Issuance / (Buyback)</t>
  </si>
  <si>
    <t>Dividends Paid</t>
  </si>
  <si>
    <t>Cash from Financing Activities</t>
  </si>
  <si>
    <t>NET CHANGE IN CASH</t>
  </si>
  <si>
    <t>Net Change in Cash</t>
  </si>
  <si>
    <t>Beginning Cash Balance</t>
  </si>
  <si>
    <t>Ending Cash Balance</t>
  </si>
  <si>
    <t>FCFF = Operating CF + Interest×(1-Tax)</t>
  </si>
  <si>
    <t>FCFE = Operating CF - Capex + Net Borrowings</t>
  </si>
  <si>
    <t>Key Financial Ratios &amp; Credit Metrics — Arjun Steel &amp; Engineering Ltd</t>
  </si>
  <si>
    <t>All ratios computed from the 3 statements. No hardcoded values.</t>
  </si>
  <si>
    <t>PROFITABILITY RATIOS</t>
  </si>
  <si>
    <t>0%</t>
  </si>
  <si>
    <t>RETURN METRICS</t>
  </si>
  <si>
    <t>Return on Equity (ROE)</t>
  </si>
  <si>
    <t>Return on Assets (ROA)</t>
  </si>
  <si>
    <t>Return on Capital Employed (ROCE)</t>
  </si>
  <si>
    <t>CREDIT METRICS</t>
  </si>
  <si>
    <t>Net Debt / EBITDA</t>
  </si>
  <si>
    <t>Interest Coverage (EBITDA/Interest)</t>
  </si>
  <si>
    <t>Debt / Equity</t>
  </si>
  <si>
    <t>CASH FLOW METRICS</t>
  </si>
  <si>
    <t>FCFF (₹ Cr)</t>
  </si>
  <si>
    <t>FCFE (₹ Cr)</t>
  </si>
  <si>
    <t>Capex / Revenue</t>
  </si>
  <si>
    <t>Cash Conversion (OCF/EBITDA)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</si>
</sst>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;\(#,##0.0\);\-"/>
    <numFmt numFmtId="166" formatCode="0.0%;\(0.0%\);\-"/>
    <numFmt numFmtId="167" formatCode="0.0000"/>
    <numFmt numFmtId="168" formatCode="0.00\x"/>
  </numFmts>
  <fonts count="13" x14ac:knownFonts="1">
    <font>
      <sz val="11"/>
      <color theme="1"/>
      <name val="Calibri"/>
      <family val="2"/>
      <charset val="1"/>
    </font>
    <font>
      <b/>
      <sz val="14"/>
      <color rgb="FF1A1A2E"/>
      <name val="Calibri"/>
      <charset val="1"/>
    </font>
    <font>
      <i/>
      <sz val="9"/>
      <color rgb="FF888888"/>
      <name val="Calibri"/>
      <charset val="1"/>
    </font>
    <font>
      <sz val="10"/>
      <color rgb="FF000000"/>
      <name val="Calibri"/>
      <charset val="1"/>
    </font>
    <font>
      <b/>
      <sz val="10"/>
      <color rgb="FF1A4A6E"/>
      <name val="Calibri"/>
      <charset val="1"/>
    </font>
    <font>
      <i/>
      <sz val="8"/>
      <color rgb="FFAAAAAA"/>
      <name val="Calibri"/>
      <charset val="1"/>
    </font>
    <font>
      <i/>
      <sz val="9"/>
      <color rgb="FFAA4400"/>
      <name val="Calibri"/>
      <charset val="1"/>
    </font>
    <font>
      <b/>
      <sz val="10"/>
      <color rgb="FFFFFFFF"/>
      <name val="Calibri"/>
      <charset val="1"/>
    </font>
    <font>
      <sz val="10"/>
      <color rgb="FF0000FF"/>
      <name val="Calibri"/>
      <charset val="1"/>
    </font>
    <font>
      <b/>
      <sz val="10"/>
      <color rgb="FF1A1A2E"/>
      <name val="Calibri"/>
      <charset val="1"/>
    </font>
    <font>
      <sz val="10"/>
      <color rgb="FF006600"/>
      <name val="Calibri"/>
      <charset val="1"/>
    </font>
    <font>
      <b/>
      <sz val="11"/>
      <color rgb="FF1A4A6E"/>
      <name val="Calibri"/>
      <charset val="1"/>
    </font>
    <font>
      <b/>
      <sz val="10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A4A6E"/>
        <bgColor rgb="FF3A5A7A"/>
      </patternFill>
    </fill>
    <fill>
      <patternFill patternType="solid">
        <fgColor rgb="FF3A5A7A"/>
        <bgColor rgb="FF1A4A6E"/>
      </patternFill>
    </fill>
    <fill>
      <patternFill patternType="solid">
        <fgColor rgb="FFF0F4FF"/>
        <bgColor rgb="FFEEF3F8"/>
      </patternFill>
    </fill>
    <fill>
      <patternFill patternType="solid">
        <fgColor rgb="FFEEF3F8"/>
        <bgColor rgb="FFF0F4FF"/>
      </patternFill>
    </fill>
    <fill>
      <patternFill patternType="solid">
        <fgColor rgb="FFFFFDE7"/>
        <bgColor rgb="FFFFFFFF"/>
      </patternFill>
    </fill>
    <fill>
      <patternFill patternType="solid">
        <fgColor rgb="FFE8F0E0"/>
        <bgColor rgb="FFEEF3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4" borderId="0" xfId="0" applyFill="1"/>
    <xf numFmtId="164" fontId="8" fillId="5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5" fontId="9" fillId="7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7" fontId="9" fillId="0" borderId="1" xfId="0" applyNumberFormat="1" applyFont="1" applyBorder="1" applyAlignment="1">
      <alignment horizontal="center" vertical="center"/>
    </xf>
    <xf numFmtId="165" fontId="12" fillId="7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E8F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A5A7A"/>
      <rgbColor rgb="FFAAAAAA"/>
      <rgbColor rgb="FF1A4A6E"/>
      <rgbColor rgb="FF339966"/>
      <rgbColor rgb="FF003300"/>
      <rgbColor rgb="FF333300"/>
      <rgbColor rgb="FFAA44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topLeftCell="A34" zoomScaleNormal="100" workbookViewId="0"/>
  </sheetViews>
  <sheetFormatPr defaultColWidth="8.6640625" defaultRowHeight="14.4" x14ac:dyDescent="0.3"/>
  <cols>
    <col min="1" max="1" width="3" customWidth="1"/>
    <col min="2" max="2" width="95" customWidth="1"/>
  </cols>
  <sheetData>
    <row r="1" spans="1:1" ht="17.25" customHeight="1" x14ac:dyDescent="0.3">
      <c r="A1" s="1" t="s">
        <v>0</v>
      </c>
    </row>
    <row r="2" spans="1:1" ht="15" customHeight="1" x14ac:dyDescent="0.3">
      <c r="A2" s="2" t="s">
        <v>1</v>
      </c>
    </row>
    <row r="4" spans="1:1" ht="15" customHeight="1" x14ac:dyDescent="0.3">
      <c r="A4" s="3"/>
    </row>
    <row r="5" spans="1:1" ht="15" customHeight="1" x14ac:dyDescent="0.3">
      <c r="A5" s="4" t="s">
        <v>2</v>
      </c>
    </row>
    <row r="6" spans="1:1" ht="15" customHeight="1" x14ac:dyDescent="0.3">
      <c r="A6" s="3" t="s">
        <v>3</v>
      </c>
    </row>
    <row r="7" spans="1:1" ht="15" customHeight="1" x14ac:dyDescent="0.3">
      <c r="A7" s="3" t="s">
        <v>4</v>
      </c>
    </row>
    <row r="8" spans="1:1" ht="15" customHeight="1" x14ac:dyDescent="0.3">
      <c r="A8" s="5" t="s">
        <v>5</v>
      </c>
    </row>
    <row r="9" spans="1:1" ht="15" customHeight="1" x14ac:dyDescent="0.3">
      <c r="A9" s="5" t="s">
        <v>6</v>
      </c>
    </row>
    <row r="10" spans="1:1" ht="15" customHeight="1" x14ac:dyDescent="0.3">
      <c r="A10" s="5" t="s">
        <v>7</v>
      </c>
    </row>
    <row r="11" spans="1:1" ht="15" customHeight="1" x14ac:dyDescent="0.3">
      <c r="A11" s="5" t="s">
        <v>8</v>
      </c>
    </row>
    <row r="12" spans="1:1" ht="15" customHeight="1" x14ac:dyDescent="0.3">
      <c r="A12" s="3"/>
    </row>
    <row r="13" spans="1:1" ht="15" customHeight="1" x14ac:dyDescent="0.3">
      <c r="A13" s="4" t="s">
        <v>9</v>
      </c>
    </row>
    <row r="14" spans="1:1" ht="15" customHeight="1" x14ac:dyDescent="0.3">
      <c r="A14" s="3" t="s">
        <v>10</v>
      </c>
    </row>
    <row r="15" spans="1:1" ht="15" customHeight="1" x14ac:dyDescent="0.3">
      <c r="A15" s="3" t="s">
        <v>11</v>
      </c>
    </row>
    <row r="16" spans="1:1" ht="15" customHeight="1" x14ac:dyDescent="0.3">
      <c r="A16" s="3" t="s">
        <v>12</v>
      </c>
    </row>
    <row r="17" spans="1:1" ht="15" customHeight="1" x14ac:dyDescent="0.3">
      <c r="A17" s="3" t="s">
        <v>13</v>
      </c>
    </row>
    <row r="18" spans="1:1" ht="15" customHeight="1" x14ac:dyDescent="0.3">
      <c r="A18" s="3" t="s">
        <v>14</v>
      </c>
    </row>
    <row r="19" spans="1:1" ht="15" customHeight="1" x14ac:dyDescent="0.3">
      <c r="A19" s="3" t="s">
        <v>15</v>
      </c>
    </row>
    <row r="20" spans="1:1" ht="15" customHeight="1" x14ac:dyDescent="0.3">
      <c r="A20" s="3" t="s">
        <v>16</v>
      </c>
    </row>
    <row r="21" spans="1:1" ht="15" customHeight="1" x14ac:dyDescent="0.3">
      <c r="A21" s="3"/>
    </row>
    <row r="22" spans="1:1" ht="15" customHeight="1" x14ac:dyDescent="0.3">
      <c r="A22" s="4" t="s">
        <v>17</v>
      </c>
    </row>
    <row r="23" spans="1:1" ht="15" customHeight="1" x14ac:dyDescent="0.3">
      <c r="A23" s="3" t="s">
        <v>18</v>
      </c>
    </row>
    <row r="24" spans="1:1" ht="15" customHeight="1" x14ac:dyDescent="0.3">
      <c r="A24" s="3" t="s">
        <v>19</v>
      </c>
    </row>
    <row r="25" spans="1:1" ht="15" customHeight="1" x14ac:dyDescent="0.3">
      <c r="A25" s="3" t="s">
        <v>20</v>
      </c>
    </row>
    <row r="26" spans="1:1" ht="15" customHeight="1" x14ac:dyDescent="0.3">
      <c r="A26" s="3" t="s">
        <v>21</v>
      </c>
    </row>
    <row r="27" spans="1:1" ht="15" customHeight="1" x14ac:dyDescent="0.3">
      <c r="A27" s="3"/>
    </row>
    <row r="28" spans="1:1" ht="15" customHeight="1" x14ac:dyDescent="0.3">
      <c r="A28" s="4" t="s">
        <v>22</v>
      </c>
    </row>
    <row r="29" spans="1:1" ht="15" customHeight="1" x14ac:dyDescent="0.3">
      <c r="A29" s="3" t="s">
        <v>23</v>
      </c>
    </row>
    <row r="30" spans="1:1" ht="15" customHeight="1" x14ac:dyDescent="0.3">
      <c r="A30" s="3" t="s">
        <v>24</v>
      </c>
    </row>
    <row r="31" spans="1:1" ht="15" customHeight="1" x14ac:dyDescent="0.3">
      <c r="A31" s="3" t="s">
        <v>25</v>
      </c>
    </row>
    <row r="32" spans="1:1" ht="15" customHeight="1" x14ac:dyDescent="0.3">
      <c r="A32" s="3" t="s">
        <v>26</v>
      </c>
    </row>
    <row r="33" spans="1:1" ht="15" customHeight="1" x14ac:dyDescent="0.3">
      <c r="A33" s="3" t="s">
        <v>27</v>
      </c>
    </row>
    <row r="34" spans="1:1" ht="15" customHeight="1" x14ac:dyDescent="0.3">
      <c r="A34" s="3" t="s">
        <v>28</v>
      </c>
    </row>
    <row r="35" spans="1:1" ht="15" customHeight="1" x14ac:dyDescent="0.3">
      <c r="A35" s="3" t="s">
        <v>29</v>
      </c>
    </row>
    <row r="36" spans="1:1" ht="15" customHeight="1" x14ac:dyDescent="0.3">
      <c r="A36" s="3" t="s">
        <v>30</v>
      </c>
    </row>
    <row r="37" spans="1:1" ht="15" customHeight="1" x14ac:dyDescent="0.3">
      <c r="A37" s="3" t="s">
        <v>31</v>
      </c>
    </row>
    <row r="38" spans="1:1" ht="15" customHeight="1" x14ac:dyDescent="0.3">
      <c r="A38" s="3"/>
    </row>
    <row r="39" spans="1:1" ht="15" customHeight="1" x14ac:dyDescent="0.3">
      <c r="A39" s="4" t="s">
        <v>32</v>
      </c>
    </row>
    <row r="40" spans="1:1" ht="15" customHeight="1" x14ac:dyDescent="0.3">
      <c r="A40" s="3" t="s">
        <v>33</v>
      </c>
    </row>
    <row r="41" spans="1:1" ht="15" customHeight="1" x14ac:dyDescent="0.3">
      <c r="A41" s="3" t="s">
        <v>34</v>
      </c>
    </row>
    <row r="42" spans="1:1" ht="15" customHeight="1" x14ac:dyDescent="0.3">
      <c r="A42" s="3" t="s">
        <v>35</v>
      </c>
    </row>
    <row r="43" spans="1:1" ht="15" customHeight="1" x14ac:dyDescent="0.3">
      <c r="A43" s="3" t="s">
        <v>36</v>
      </c>
    </row>
    <row r="44" spans="1:1" ht="15" customHeight="1" x14ac:dyDescent="0.3">
      <c r="A44" s="3"/>
    </row>
    <row r="45" spans="1:1" ht="15" customHeight="1" x14ac:dyDescent="0.3">
      <c r="A45" s="4" t="s">
        <v>37</v>
      </c>
    </row>
    <row r="46" spans="1:1" ht="15" customHeight="1" x14ac:dyDescent="0.3">
      <c r="A46" s="6" t="s">
        <v>38</v>
      </c>
    </row>
    <row r="47" spans="1:1" ht="15" customHeight="1" x14ac:dyDescent="0.3">
      <c r="A47" s="3" t="s">
        <v>39</v>
      </c>
    </row>
    <row r="48" spans="1:1" ht="15" customHeight="1" x14ac:dyDescent="0.3">
      <c r="A48" s="3" t="s">
        <v>40</v>
      </c>
    </row>
    <row r="49" spans="1:1" ht="15" customHeight="1" x14ac:dyDescent="0.3">
      <c r="A49" s="3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opLeftCell="A4" zoomScaleNormal="100" workbookViewId="0"/>
  </sheetViews>
  <sheetFormatPr defaultColWidth="8.6640625" defaultRowHeight="14.4" x14ac:dyDescent="0.3"/>
  <cols>
    <col min="1" max="1" width="40" customWidth="1"/>
    <col min="2" max="2" width="8.5546875" customWidth="1"/>
    <col min="3" max="8" width="11" customWidth="1"/>
    <col min="9" max="9" width="16" customWidth="1"/>
  </cols>
  <sheetData>
    <row r="1" spans="1:9" ht="17.25" customHeight="1" x14ac:dyDescent="0.3">
      <c r="A1" s="1" t="s">
        <v>42</v>
      </c>
    </row>
    <row r="2" spans="1:9" ht="15" customHeight="1" x14ac:dyDescent="0.3">
      <c r="A2" s="2" t="s">
        <v>43</v>
      </c>
    </row>
    <row r="4" spans="1:9" ht="15" customHeight="1" x14ac:dyDescent="0.3">
      <c r="A4" s="7"/>
      <c r="B4" s="8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I4" s="7" t="s">
        <v>50</v>
      </c>
    </row>
    <row r="6" spans="1:9" ht="15" customHeight="1" x14ac:dyDescent="0.3">
      <c r="A6" s="10" t="s">
        <v>51</v>
      </c>
      <c r="B6" s="11"/>
      <c r="C6" s="11"/>
      <c r="D6" s="11"/>
      <c r="E6" s="11"/>
      <c r="F6" s="11"/>
      <c r="G6" s="11"/>
      <c r="H6" s="11"/>
      <c r="I6" s="11"/>
    </row>
    <row r="7" spans="1:9" ht="15" customHeight="1" x14ac:dyDescent="0.3">
      <c r="A7" s="3" t="s">
        <v>52</v>
      </c>
      <c r="B7" s="12">
        <v>0.12</v>
      </c>
      <c r="C7" s="13">
        <v>0.12</v>
      </c>
      <c r="D7" s="13">
        <v>0.11</v>
      </c>
      <c r="E7" s="13">
        <v>0.1</v>
      </c>
      <c r="F7" s="13">
        <v>0.09</v>
      </c>
      <c r="G7" s="13">
        <v>0.08</v>
      </c>
      <c r="I7" s="5" t="s">
        <v>53</v>
      </c>
    </row>
    <row r="8" spans="1:9" ht="15" customHeight="1" x14ac:dyDescent="0.3">
      <c r="A8" s="3" t="s">
        <v>54</v>
      </c>
      <c r="B8" s="12">
        <v>0.71</v>
      </c>
      <c r="C8" s="13">
        <v>0.7</v>
      </c>
      <c r="D8" s="13">
        <v>0.69499999999999995</v>
      </c>
      <c r="E8" s="13">
        <v>0.69</v>
      </c>
      <c r="F8" s="13">
        <v>0.68500000000000005</v>
      </c>
      <c r="G8" s="13">
        <v>0.68</v>
      </c>
      <c r="I8" s="5" t="s">
        <v>55</v>
      </c>
    </row>
    <row r="9" spans="1:9" ht="15" customHeight="1" x14ac:dyDescent="0.3">
      <c r="A9" s="3" t="s">
        <v>56</v>
      </c>
      <c r="B9" s="12">
        <v>0.01</v>
      </c>
      <c r="C9" s="13">
        <v>0.01</v>
      </c>
      <c r="D9" s="13">
        <v>0.01</v>
      </c>
      <c r="E9" s="13">
        <v>0.01</v>
      </c>
      <c r="F9" s="13">
        <v>0.01</v>
      </c>
      <c r="G9" s="13">
        <v>0.01</v>
      </c>
    </row>
    <row r="10" spans="1:9" ht="15" customHeight="1" x14ac:dyDescent="0.3">
      <c r="A10" s="3" t="s">
        <v>57</v>
      </c>
      <c r="B10" s="12">
        <v>0.1</v>
      </c>
      <c r="C10" s="13">
        <v>9.8000000000000004E-2</v>
      </c>
      <c r="D10" s="13">
        <v>9.5000000000000001E-2</v>
      </c>
      <c r="E10" s="13">
        <v>9.2999999999999999E-2</v>
      </c>
      <c r="F10" s="13">
        <v>9.0999999999999998E-2</v>
      </c>
      <c r="G10" s="13">
        <v>0.09</v>
      </c>
    </row>
    <row r="11" spans="1:9" ht="15" customHeight="1" x14ac:dyDescent="0.3">
      <c r="A11" s="3" t="s">
        <v>58</v>
      </c>
      <c r="B11" s="12">
        <v>0.18</v>
      </c>
      <c r="C11" s="13">
        <v>0.19</v>
      </c>
      <c r="D11" s="13">
        <v>0.2</v>
      </c>
      <c r="E11" s="13">
        <v>0.21</v>
      </c>
      <c r="F11" s="13">
        <v>0.21</v>
      </c>
      <c r="G11" s="13">
        <v>0.22</v>
      </c>
      <c r="I11" s="5" t="s">
        <v>59</v>
      </c>
    </row>
    <row r="12" spans="1:9" ht="15" customHeight="1" x14ac:dyDescent="0.3">
      <c r="A12" s="3" t="s">
        <v>60</v>
      </c>
      <c r="B12" s="12">
        <v>0.05</v>
      </c>
      <c r="C12" s="13">
        <v>4.8000000000000001E-2</v>
      </c>
      <c r="D12" s="13">
        <v>4.7E-2</v>
      </c>
      <c r="E12" s="13">
        <v>4.5999999999999999E-2</v>
      </c>
      <c r="F12" s="13">
        <v>4.4999999999999998E-2</v>
      </c>
      <c r="G12" s="13">
        <v>4.3999999999999997E-2</v>
      </c>
      <c r="I12" s="5" t="s">
        <v>61</v>
      </c>
    </row>
    <row r="13" spans="1:9" ht="15" customHeight="1" x14ac:dyDescent="0.3">
      <c r="A13" s="3" t="s">
        <v>62</v>
      </c>
      <c r="B13" s="14">
        <v>0.25</v>
      </c>
      <c r="C13" s="14">
        <v>0.25</v>
      </c>
      <c r="D13" s="14">
        <v>0.25</v>
      </c>
      <c r="E13" s="14">
        <v>0.25</v>
      </c>
      <c r="F13" s="14">
        <v>0.25</v>
      </c>
      <c r="G13" s="14">
        <v>0.25</v>
      </c>
      <c r="I13" s="5" t="s">
        <v>63</v>
      </c>
    </row>
    <row r="15" spans="1:9" ht="15" customHeight="1" x14ac:dyDescent="0.3">
      <c r="A15" s="10" t="s">
        <v>64</v>
      </c>
      <c r="B15" s="11"/>
      <c r="C15" s="11"/>
      <c r="D15" s="11"/>
      <c r="E15" s="11"/>
      <c r="F15" s="11"/>
      <c r="G15" s="11"/>
      <c r="H15" s="11"/>
      <c r="I15" s="11"/>
    </row>
    <row r="16" spans="1:9" ht="15" customHeight="1" x14ac:dyDescent="0.3">
      <c r="A16" s="3" t="s">
        <v>65</v>
      </c>
      <c r="B16" s="15">
        <v>65</v>
      </c>
      <c r="C16" s="15">
        <v>65</v>
      </c>
      <c r="D16" s="15">
        <v>65</v>
      </c>
      <c r="E16" s="15">
        <v>65</v>
      </c>
      <c r="F16" s="15">
        <v>65</v>
      </c>
      <c r="G16" s="15">
        <v>65</v>
      </c>
      <c r="I16" s="5" t="s">
        <v>66</v>
      </c>
    </row>
    <row r="17" spans="1:9" ht="15" customHeight="1" x14ac:dyDescent="0.3">
      <c r="A17" s="3" t="s">
        <v>67</v>
      </c>
      <c r="B17" s="15">
        <v>77</v>
      </c>
      <c r="C17" s="15">
        <v>77</v>
      </c>
      <c r="D17" s="15">
        <v>77</v>
      </c>
      <c r="E17" s="15">
        <v>77</v>
      </c>
      <c r="F17" s="15">
        <v>77</v>
      </c>
      <c r="G17" s="15">
        <v>77</v>
      </c>
      <c r="I17" s="5" t="s">
        <v>68</v>
      </c>
    </row>
    <row r="18" spans="1:9" ht="15" customHeight="1" x14ac:dyDescent="0.3">
      <c r="A18" s="3" t="s">
        <v>69</v>
      </c>
      <c r="B18" s="15">
        <v>61</v>
      </c>
      <c r="C18" s="15">
        <v>61</v>
      </c>
      <c r="D18" s="15">
        <v>61</v>
      </c>
      <c r="E18" s="15">
        <v>61</v>
      </c>
      <c r="F18" s="15">
        <v>61</v>
      </c>
      <c r="G18" s="15">
        <v>61</v>
      </c>
      <c r="I18" s="5" t="s">
        <v>68</v>
      </c>
    </row>
    <row r="19" spans="1:9" ht="15" customHeight="1" x14ac:dyDescent="0.3">
      <c r="A19" s="3" t="s">
        <v>70</v>
      </c>
      <c r="B19" s="16">
        <v>40</v>
      </c>
      <c r="C19" s="16">
        <v>40</v>
      </c>
      <c r="D19" s="16">
        <v>40</v>
      </c>
      <c r="E19" s="16">
        <v>40</v>
      </c>
      <c r="F19" s="16">
        <v>40</v>
      </c>
      <c r="G19" s="16">
        <v>40</v>
      </c>
      <c r="I19" s="5" t="s">
        <v>71</v>
      </c>
    </row>
    <row r="21" spans="1:9" ht="15" customHeight="1" x14ac:dyDescent="0.3">
      <c r="A21" s="10" t="s">
        <v>72</v>
      </c>
      <c r="B21" s="11"/>
      <c r="C21" s="11"/>
      <c r="D21" s="11"/>
      <c r="E21" s="11"/>
      <c r="F21" s="11"/>
      <c r="G21" s="11"/>
      <c r="H21" s="11"/>
      <c r="I21" s="11"/>
    </row>
    <row r="22" spans="1:9" ht="15" customHeight="1" x14ac:dyDescent="0.3">
      <c r="A22" s="3" t="s">
        <v>73</v>
      </c>
      <c r="B22" s="12">
        <v>0.08</v>
      </c>
      <c r="C22" s="13">
        <v>7.1999999999999995E-2</v>
      </c>
      <c r="D22" s="13">
        <v>6.8000000000000005E-2</v>
      </c>
      <c r="E22" s="13">
        <v>6.5000000000000002E-2</v>
      </c>
      <c r="F22" s="13">
        <v>6.2E-2</v>
      </c>
      <c r="G22" s="13">
        <v>0.06</v>
      </c>
    </row>
    <row r="23" spans="1:9" ht="15" customHeight="1" x14ac:dyDescent="0.3">
      <c r="A23" s="3" t="s">
        <v>74</v>
      </c>
      <c r="B23" s="15">
        <v>15</v>
      </c>
      <c r="C23" s="15">
        <v>15</v>
      </c>
      <c r="D23" s="15">
        <v>15</v>
      </c>
      <c r="E23" s="15">
        <v>15</v>
      </c>
      <c r="F23" s="15">
        <v>15</v>
      </c>
      <c r="G23" s="15">
        <v>15</v>
      </c>
      <c r="I23" s="5" t="s">
        <v>75</v>
      </c>
    </row>
    <row r="25" spans="1:9" ht="15" customHeight="1" x14ac:dyDescent="0.3">
      <c r="A25" s="10" t="s">
        <v>76</v>
      </c>
      <c r="B25" s="11"/>
      <c r="C25" s="11"/>
      <c r="D25" s="11"/>
      <c r="E25" s="11"/>
      <c r="F25" s="11"/>
      <c r="G25" s="11"/>
      <c r="H25" s="11"/>
      <c r="I25" s="11"/>
    </row>
    <row r="26" spans="1:9" ht="15" customHeight="1" x14ac:dyDescent="0.3">
      <c r="A26" s="3" t="s">
        <v>77</v>
      </c>
      <c r="B26" s="13">
        <v>0.09</v>
      </c>
      <c r="C26" s="13">
        <v>0.09</v>
      </c>
      <c r="D26" s="13">
        <v>0.09</v>
      </c>
      <c r="E26" s="13">
        <v>0.09</v>
      </c>
      <c r="F26" s="13">
        <v>0.09</v>
      </c>
      <c r="G26" s="13">
        <v>0.09</v>
      </c>
      <c r="I26" s="5" t="s">
        <v>78</v>
      </c>
    </row>
    <row r="27" spans="1:9" ht="15" customHeight="1" x14ac:dyDescent="0.3">
      <c r="A27" s="3" t="s">
        <v>79</v>
      </c>
      <c r="B27" s="17">
        <v>25</v>
      </c>
      <c r="C27" s="16">
        <v>25</v>
      </c>
      <c r="D27" s="16">
        <v>25</v>
      </c>
      <c r="E27" s="16">
        <v>25</v>
      </c>
      <c r="F27" s="16">
        <v>25</v>
      </c>
      <c r="G27" s="16">
        <v>25</v>
      </c>
      <c r="I27" s="5" t="s">
        <v>80</v>
      </c>
    </row>
    <row r="30" spans="1:9" ht="15" customHeight="1" x14ac:dyDescent="0.3">
      <c r="A30" s="6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opLeftCell="A7" zoomScaleNormal="100" workbookViewId="0"/>
  </sheetViews>
  <sheetFormatPr defaultColWidth="8.6640625" defaultRowHeight="14.4" x14ac:dyDescent="0.3"/>
  <cols>
    <col min="1" max="1" width="30" customWidth="1"/>
    <col min="2" max="2" width="10.109375" customWidth="1"/>
    <col min="3" max="8" width="11" customWidth="1"/>
  </cols>
  <sheetData>
    <row r="1" spans="1:8" ht="17.25" customHeight="1" x14ac:dyDescent="0.3">
      <c r="A1" s="1" t="s">
        <v>82</v>
      </c>
    </row>
    <row r="2" spans="1:8" ht="15" customHeight="1" x14ac:dyDescent="0.3">
      <c r="A2" s="2" t="s">
        <v>83</v>
      </c>
    </row>
    <row r="4" spans="1:8" ht="15" customHeight="1" x14ac:dyDescent="0.3">
      <c r="A4" s="7"/>
      <c r="B4" s="8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</row>
    <row r="6" spans="1:8" ht="15" customHeight="1" x14ac:dyDescent="0.3">
      <c r="A6" s="10" t="s">
        <v>84</v>
      </c>
      <c r="B6" s="11"/>
      <c r="C6" s="11"/>
      <c r="D6" s="11"/>
      <c r="E6" s="11"/>
      <c r="F6" s="11"/>
      <c r="G6" s="11"/>
      <c r="H6" s="11"/>
    </row>
    <row r="7" spans="1:8" ht="15" customHeight="1" x14ac:dyDescent="0.3">
      <c r="A7" s="3" t="s">
        <v>85</v>
      </c>
      <c r="B7" s="17">
        <v>600</v>
      </c>
      <c r="C7" s="18">
        <f>B7*(1+Assumptions!C7)</f>
        <v>672.00000000000011</v>
      </c>
      <c r="D7" s="18">
        <f>C7*(1+Assumptions!D7)</f>
        <v>745.92000000000019</v>
      </c>
      <c r="E7" s="18">
        <f>D7*(1+Assumptions!E7)</f>
        <v>820.51200000000028</v>
      </c>
      <c r="F7" s="18">
        <f>E7*(1+Assumptions!F7)</f>
        <v>894.35808000000043</v>
      </c>
      <c r="G7" s="18">
        <f>F7*(1+Assumptions!G7)</f>
        <v>965.90672640000048</v>
      </c>
    </row>
    <row r="9" spans="1:8" ht="15" customHeight="1" x14ac:dyDescent="0.3">
      <c r="A9" s="3" t="s">
        <v>86</v>
      </c>
      <c r="B9" s="17">
        <v>-426</v>
      </c>
      <c r="C9" s="18">
        <f>-C7*Assumptions!C8</f>
        <v>-470.40000000000003</v>
      </c>
      <c r="D9" s="18">
        <f>-D7*Assumptions!D8</f>
        <v>-518.41440000000011</v>
      </c>
      <c r="E9" s="18">
        <f>-E7*Assumptions!E8</f>
        <v>-566.15328000000011</v>
      </c>
      <c r="F9" s="18">
        <f>-F7*Assumptions!F8</f>
        <v>-612.63528480000036</v>
      </c>
      <c r="G9" s="18">
        <f>-G7*Assumptions!G8</f>
        <v>-656.81657395200034</v>
      </c>
    </row>
    <row r="10" spans="1:8" ht="15" customHeight="1" x14ac:dyDescent="0.3">
      <c r="A10" s="19" t="s">
        <v>87</v>
      </c>
      <c r="B10" s="20">
        <f t="shared" ref="B10:G10" si="0">B7+B9</f>
        <v>174</v>
      </c>
      <c r="C10" s="20">
        <f t="shared" si="0"/>
        <v>201.60000000000008</v>
      </c>
      <c r="D10" s="20">
        <f t="shared" si="0"/>
        <v>227.50560000000007</v>
      </c>
      <c r="E10" s="20">
        <f t="shared" si="0"/>
        <v>254.35872000000018</v>
      </c>
      <c r="F10" s="20">
        <f t="shared" si="0"/>
        <v>281.72279520000006</v>
      </c>
      <c r="G10" s="20">
        <f t="shared" si="0"/>
        <v>309.09015244800014</v>
      </c>
    </row>
    <row r="11" spans="1:8" ht="15" customHeight="1" x14ac:dyDescent="0.3">
      <c r="A11" s="3" t="s">
        <v>88</v>
      </c>
      <c r="B11" s="21">
        <f t="shared" ref="B11:G11" si="1">B10/B7</f>
        <v>0.28999999999999998</v>
      </c>
      <c r="C11" s="21">
        <f t="shared" si="1"/>
        <v>0.30000000000000004</v>
      </c>
      <c r="D11" s="21">
        <f t="shared" si="1"/>
        <v>0.30499999999999999</v>
      </c>
      <c r="E11" s="21">
        <f t="shared" si="1"/>
        <v>0.31000000000000011</v>
      </c>
      <c r="F11" s="21">
        <f t="shared" si="1"/>
        <v>0.31499999999999995</v>
      </c>
      <c r="G11" s="21">
        <f t="shared" si="1"/>
        <v>0.32</v>
      </c>
    </row>
    <row r="13" spans="1:8" ht="15" customHeight="1" x14ac:dyDescent="0.3">
      <c r="A13" s="10" t="s">
        <v>89</v>
      </c>
      <c r="B13" s="11"/>
      <c r="C13" s="11"/>
      <c r="D13" s="11"/>
      <c r="E13" s="11"/>
      <c r="F13" s="11"/>
      <c r="G13" s="11"/>
      <c r="H13" s="11"/>
    </row>
    <row r="14" spans="1:8" ht="15" customHeight="1" x14ac:dyDescent="0.3">
      <c r="A14" s="3" t="s">
        <v>90</v>
      </c>
      <c r="B14" s="17">
        <v>-6</v>
      </c>
      <c r="C14" s="18">
        <f>-C7*Assumptions!C9</f>
        <v>-6.7200000000000015</v>
      </c>
      <c r="D14" s="18">
        <f>-D7*Assumptions!D9</f>
        <v>-7.4592000000000018</v>
      </c>
      <c r="E14" s="18">
        <f>-E7*Assumptions!E9</f>
        <v>-8.2051200000000026</v>
      </c>
      <c r="F14" s="18">
        <f>-F7*Assumptions!F9</f>
        <v>-8.9435808000000048</v>
      </c>
      <c r="G14" s="18">
        <f>-G7*Assumptions!G9</f>
        <v>-9.6590672640000044</v>
      </c>
    </row>
    <row r="15" spans="1:8" ht="15" customHeight="1" x14ac:dyDescent="0.3">
      <c r="A15" s="3" t="s">
        <v>91</v>
      </c>
      <c r="B15" s="17">
        <v>-60</v>
      </c>
      <c r="C15" s="18">
        <f>-C7*Assumptions!C10</f>
        <v>-65.856000000000009</v>
      </c>
      <c r="D15" s="18">
        <f>-D7*Assumptions!D10</f>
        <v>-70.862400000000022</v>
      </c>
      <c r="E15" s="18">
        <f>-E7*Assumptions!E10</f>
        <v>-76.307616000000024</v>
      </c>
      <c r="F15" s="18">
        <f>-F7*Assumptions!F10</f>
        <v>-81.386585280000034</v>
      </c>
      <c r="G15" s="18">
        <f>-G7*Assumptions!G10</f>
        <v>-86.931605376000036</v>
      </c>
    </row>
    <row r="16" spans="1:8" ht="15" customHeight="1" x14ac:dyDescent="0.3">
      <c r="A16" s="19" t="s">
        <v>92</v>
      </c>
      <c r="B16" s="20">
        <f t="shared" ref="B16:G16" si="2">B10+B14+B15</f>
        <v>108</v>
      </c>
      <c r="C16" s="20">
        <f t="shared" si="2"/>
        <v>129.02400000000006</v>
      </c>
      <c r="D16" s="20">
        <f t="shared" si="2"/>
        <v>149.18400000000003</v>
      </c>
      <c r="E16" s="20">
        <f t="shared" si="2"/>
        <v>169.84598400000016</v>
      </c>
      <c r="F16" s="20">
        <f t="shared" si="2"/>
        <v>191.39262912000004</v>
      </c>
      <c r="G16" s="20">
        <f t="shared" si="2"/>
        <v>212.4994798080001</v>
      </c>
    </row>
    <row r="17" spans="1:8" ht="15" customHeight="1" x14ac:dyDescent="0.3">
      <c r="A17" s="3" t="s">
        <v>93</v>
      </c>
      <c r="B17" s="21">
        <f t="shared" ref="B17:G17" si="3">B16/B7</f>
        <v>0.18</v>
      </c>
      <c r="C17" s="21">
        <f t="shared" si="3"/>
        <v>0.19200000000000006</v>
      </c>
      <c r="D17" s="21">
        <f t="shared" si="3"/>
        <v>0.19999999999999998</v>
      </c>
      <c r="E17" s="21">
        <f t="shared" si="3"/>
        <v>0.20700000000000013</v>
      </c>
      <c r="F17" s="21">
        <f t="shared" si="3"/>
        <v>0.21399999999999994</v>
      </c>
      <c r="G17" s="21">
        <f t="shared" si="3"/>
        <v>0.22</v>
      </c>
    </row>
    <row r="19" spans="1:8" ht="15" customHeight="1" x14ac:dyDescent="0.3">
      <c r="A19" s="3" t="s">
        <v>94</v>
      </c>
      <c r="B19" s="17">
        <v>-30</v>
      </c>
      <c r="C19" s="22">
        <f>-'PP&amp;E Schedule'!C14</f>
        <v>-32.256000000000007</v>
      </c>
      <c r="D19" s="22">
        <f>-'PP&amp;E Schedule'!D14</f>
        <v>-35.058240000000012</v>
      </c>
      <c r="E19" s="22">
        <f>-'PP&amp;E Schedule'!E14</f>
        <v>-37.743552000000015</v>
      </c>
      <c r="F19" s="22">
        <f>-'PP&amp;E Schedule'!F14</f>
        <v>-40.246113600000015</v>
      </c>
      <c r="G19" s="22">
        <f>-'PP&amp;E Schedule'!G14</f>
        <v>-42.499895961600018</v>
      </c>
    </row>
    <row r="20" spans="1:8" ht="15" customHeight="1" x14ac:dyDescent="0.3">
      <c r="A20" s="19" t="s">
        <v>95</v>
      </c>
      <c r="B20" s="20">
        <f t="shared" ref="B20:G20" si="4">B16+B19</f>
        <v>78</v>
      </c>
      <c r="C20" s="20">
        <f t="shared" si="4"/>
        <v>96.768000000000058</v>
      </c>
      <c r="D20" s="20">
        <f t="shared" si="4"/>
        <v>114.12576000000001</v>
      </c>
      <c r="E20" s="20">
        <f t="shared" si="4"/>
        <v>132.10243200000014</v>
      </c>
      <c r="F20" s="20">
        <f t="shared" si="4"/>
        <v>151.14651552000004</v>
      </c>
      <c r="G20" s="20">
        <f t="shared" si="4"/>
        <v>169.99958384640007</v>
      </c>
    </row>
    <row r="21" spans="1:8" ht="15" customHeight="1" x14ac:dyDescent="0.3">
      <c r="A21" s="3" t="s">
        <v>96</v>
      </c>
      <c r="B21" s="21">
        <f t="shared" ref="B21:G21" si="5">B20/B7</f>
        <v>0.13</v>
      </c>
      <c r="C21" s="21">
        <f t="shared" si="5"/>
        <v>0.14400000000000007</v>
      </c>
      <c r="D21" s="21">
        <f t="shared" si="5"/>
        <v>0.15299999999999997</v>
      </c>
      <c r="E21" s="21">
        <f t="shared" si="5"/>
        <v>0.16100000000000012</v>
      </c>
      <c r="F21" s="21">
        <f t="shared" si="5"/>
        <v>0.16899999999999996</v>
      </c>
      <c r="G21" s="21">
        <f t="shared" si="5"/>
        <v>0.17599999999999999</v>
      </c>
    </row>
    <row r="23" spans="1:8" ht="15" customHeight="1" x14ac:dyDescent="0.3">
      <c r="A23" s="10" t="s">
        <v>97</v>
      </c>
      <c r="B23" s="11"/>
      <c r="C23" s="11"/>
      <c r="D23" s="11"/>
      <c r="E23" s="11"/>
      <c r="F23" s="11"/>
      <c r="G23" s="11"/>
      <c r="H23" s="11"/>
    </row>
    <row r="24" spans="1:8" ht="15" customHeight="1" x14ac:dyDescent="0.3">
      <c r="A24" s="3" t="s">
        <v>98</v>
      </c>
      <c r="B24" s="17">
        <v>-18</v>
      </c>
      <c r="C24" s="22">
        <f>-'Debt Schedule'!C16</f>
        <v>-14.625</v>
      </c>
      <c r="D24" s="22">
        <f>-'Debt Schedule'!D16</f>
        <v>-12.375</v>
      </c>
      <c r="E24" s="22">
        <f>-'Debt Schedule'!E16</f>
        <v>-10.125</v>
      </c>
      <c r="F24" s="22">
        <f>-'Debt Schedule'!F16</f>
        <v>-7.875</v>
      </c>
      <c r="G24" s="22">
        <f>-'Debt Schedule'!G16</f>
        <v>-5.625</v>
      </c>
    </row>
    <row r="25" spans="1:8" ht="15" customHeight="1" x14ac:dyDescent="0.3">
      <c r="A25" s="3" t="s">
        <v>99</v>
      </c>
      <c r="B25" s="17">
        <v>2</v>
      </c>
      <c r="C25" s="16">
        <v>1</v>
      </c>
      <c r="D25" s="16">
        <v>1</v>
      </c>
      <c r="E25" s="16">
        <v>1</v>
      </c>
      <c r="F25" s="16">
        <v>1</v>
      </c>
      <c r="G25" s="16">
        <v>1</v>
      </c>
    </row>
    <row r="26" spans="1:8" ht="15" customHeight="1" x14ac:dyDescent="0.3">
      <c r="A26" s="19" t="s">
        <v>100</v>
      </c>
      <c r="B26" s="20">
        <f t="shared" ref="B26:G26" si="6">B20+B24+B25</f>
        <v>62</v>
      </c>
      <c r="C26" s="20">
        <f t="shared" si="6"/>
        <v>83.143000000000058</v>
      </c>
      <c r="D26" s="20">
        <f t="shared" si="6"/>
        <v>102.75076000000001</v>
      </c>
      <c r="E26" s="20">
        <f t="shared" si="6"/>
        <v>122.97743200000014</v>
      </c>
      <c r="F26" s="20">
        <f t="shared" si="6"/>
        <v>144.27151552000004</v>
      </c>
      <c r="G26" s="20">
        <f t="shared" si="6"/>
        <v>165.37458384640007</v>
      </c>
    </row>
    <row r="27" spans="1:8" ht="15" customHeight="1" x14ac:dyDescent="0.3">
      <c r="A27" s="3" t="s">
        <v>101</v>
      </c>
      <c r="B27" s="17">
        <v>-15.5</v>
      </c>
      <c r="C27" s="18">
        <f>MIN(0,-C26*Assumptions!$B$13)</f>
        <v>-20.785750000000014</v>
      </c>
      <c r="D27" s="18">
        <f>MIN(0,-D26*Assumptions!$B$13)</f>
        <v>-25.687690000000003</v>
      </c>
      <c r="E27" s="18">
        <f>MIN(0,-E26*Assumptions!$B$13)</f>
        <v>-30.744358000000034</v>
      </c>
      <c r="F27" s="18">
        <f>MIN(0,-F26*Assumptions!$B$13)</f>
        <v>-36.067878880000009</v>
      </c>
      <c r="G27" s="18">
        <f>MIN(0,-G26*Assumptions!$B$13)</f>
        <v>-41.343645961600018</v>
      </c>
    </row>
    <row r="28" spans="1:8" ht="15" customHeight="1" x14ac:dyDescent="0.3">
      <c r="A28" s="19" t="s">
        <v>102</v>
      </c>
      <c r="B28" s="20">
        <f t="shared" ref="B28:G28" si="7">B26+B27</f>
        <v>46.5</v>
      </c>
      <c r="C28" s="20">
        <f t="shared" si="7"/>
        <v>62.357250000000043</v>
      </c>
      <c r="D28" s="20">
        <f t="shared" si="7"/>
        <v>77.06307000000001</v>
      </c>
      <c r="E28" s="20">
        <f t="shared" si="7"/>
        <v>92.233074000000101</v>
      </c>
      <c r="F28" s="20">
        <f t="shared" si="7"/>
        <v>108.20363664000003</v>
      </c>
      <c r="G28" s="20">
        <f t="shared" si="7"/>
        <v>124.03093788480005</v>
      </c>
    </row>
    <row r="29" spans="1:8" ht="15" customHeight="1" x14ac:dyDescent="0.3">
      <c r="A29" s="3" t="s">
        <v>103</v>
      </c>
      <c r="B29" s="21">
        <f t="shared" ref="B29:G29" si="8">B28/B7</f>
        <v>7.7499999999999999E-2</v>
      </c>
      <c r="C29" s="21">
        <f t="shared" si="8"/>
        <v>9.2793526785714328E-2</v>
      </c>
      <c r="D29" s="21">
        <f t="shared" si="8"/>
        <v>0.10331278153153152</v>
      </c>
      <c r="E29" s="21">
        <f t="shared" si="8"/>
        <v>0.11240917134667143</v>
      </c>
      <c r="F29" s="21">
        <f t="shared" si="8"/>
        <v>0.12098469176909542</v>
      </c>
      <c r="G29" s="21">
        <f t="shared" si="8"/>
        <v>0.12840881473832544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8.77734375" customWidth="1"/>
    <col min="3" max="8" width="11" customWidth="1"/>
  </cols>
  <sheetData>
    <row r="1" spans="1:8" ht="17.25" customHeight="1" x14ac:dyDescent="0.3">
      <c r="A1" s="1" t="s">
        <v>104</v>
      </c>
    </row>
    <row r="2" spans="1:8" ht="15" customHeight="1" x14ac:dyDescent="0.3">
      <c r="A2" s="2" t="s">
        <v>105</v>
      </c>
    </row>
    <row r="4" spans="1:8" ht="15" customHeight="1" x14ac:dyDescent="0.3">
      <c r="A4" s="7"/>
      <c r="B4" s="8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</row>
    <row r="6" spans="1:8" ht="15" customHeight="1" x14ac:dyDescent="0.3">
      <c r="A6" s="10" t="s">
        <v>106</v>
      </c>
      <c r="B6" s="11"/>
      <c r="C6" s="11"/>
      <c r="D6" s="11"/>
      <c r="E6" s="11"/>
      <c r="F6" s="11"/>
      <c r="G6" s="11"/>
      <c r="H6" s="11"/>
    </row>
    <row r="7" spans="1:8" ht="15" customHeight="1" x14ac:dyDescent="0.3">
      <c r="A7" s="3" t="s">
        <v>107</v>
      </c>
      <c r="B7" s="17">
        <v>480</v>
      </c>
      <c r="C7" s="18">
        <f>B10</f>
        <v>510</v>
      </c>
      <c r="D7" s="18">
        <f>C10</f>
        <v>558.38400000000001</v>
      </c>
      <c r="E7" s="18">
        <f>D10</f>
        <v>609.10656000000006</v>
      </c>
      <c r="F7" s="18">
        <f>E10</f>
        <v>662.43984000000012</v>
      </c>
      <c r="G7" s="18">
        <f>F10</f>
        <v>717.89004096000019</v>
      </c>
    </row>
    <row r="8" spans="1:8" ht="15" customHeight="1" x14ac:dyDescent="0.3">
      <c r="A8" s="3" t="s">
        <v>108</v>
      </c>
      <c r="B8" s="17">
        <v>30</v>
      </c>
      <c r="C8" s="22">
        <f>'Income Stmt'!C7*Assumptions!C22</f>
        <v>48.384000000000007</v>
      </c>
      <c r="D8" s="22">
        <f>'Income Stmt'!D7*Assumptions!D22</f>
        <v>50.722560000000016</v>
      </c>
      <c r="E8" s="22">
        <f>'Income Stmt'!E7*Assumptions!E22</f>
        <v>53.333280000000023</v>
      </c>
      <c r="F8" s="22">
        <f>'Income Stmt'!F7*Assumptions!F22</f>
        <v>55.450200960000025</v>
      </c>
      <c r="G8" s="22">
        <f>'Income Stmt'!G7*Assumptions!G22</f>
        <v>57.954403584000026</v>
      </c>
    </row>
    <row r="9" spans="1:8" ht="15" customHeight="1" x14ac:dyDescent="0.3">
      <c r="A9" s="3" t="s">
        <v>109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</row>
    <row r="10" spans="1:8" ht="15" customHeight="1" x14ac:dyDescent="0.3">
      <c r="A10" s="19" t="s">
        <v>110</v>
      </c>
      <c r="B10" s="20">
        <f t="shared" ref="B10:G10" si="0">B7+B8+B9</f>
        <v>510</v>
      </c>
      <c r="C10" s="20">
        <f t="shared" si="0"/>
        <v>558.38400000000001</v>
      </c>
      <c r="D10" s="20">
        <f t="shared" si="0"/>
        <v>609.10656000000006</v>
      </c>
      <c r="E10" s="20">
        <f t="shared" si="0"/>
        <v>662.43984000000012</v>
      </c>
      <c r="F10" s="20">
        <f t="shared" si="0"/>
        <v>717.89004096000019</v>
      </c>
      <c r="G10" s="20">
        <f t="shared" si="0"/>
        <v>775.84444454400023</v>
      </c>
    </row>
    <row r="12" spans="1:8" ht="15" customHeight="1" x14ac:dyDescent="0.3">
      <c r="A12" s="10" t="s">
        <v>111</v>
      </c>
      <c r="B12" s="11"/>
      <c r="C12" s="11"/>
      <c r="D12" s="11"/>
      <c r="E12" s="11"/>
      <c r="F12" s="11"/>
      <c r="G12" s="11"/>
      <c r="H12" s="11"/>
    </row>
    <row r="13" spans="1:8" ht="15" customHeight="1" x14ac:dyDescent="0.3">
      <c r="A13" s="3" t="s">
        <v>112</v>
      </c>
      <c r="B13" s="17">
        <v>150</v>
      </c>
      <c r="C13" s="18">
        <f>B16</f>
        <v>180</v>
      </c>
      <c r="D13" s="18">
        <f>C16</f>
        <v>212.256</v>
      </c>
      <c r="E13" s="18">
        <f>D16</f>
        <v>247.31424000000001</v>
      </c>
      <c r="F13" s="18">
        <f>E16</f>
        <v>285.05779200000001</v>
      </c>
      <c r="G13" s="18">
        <f>F16</f>
        <v>325.30390560000001</v>
      </c>
    </row>
    <row r="14" spans="1:8" ht="15" customHeight="1" x14ac:dyDescent="0.3">
      <c r="A14" s="3" t="s">
        <v>113</v>
      </c>
      <c r="B14" s="17">
        <v>30</v>
      </c>
      <c r="C14" s="22">
        <f>'Income Stmt'!C7*Assumptions!C12</f>
        <v>32.256000000000007</v>
      </c>
      <c r="D14" s="22">
        <f>'Income Stmt'!D7*Assumptions!D12</f>
        <v>35.058240000000012</v>
      </c>
      <c r="E14" s="22">
        <f>'Income Stmt'!E7*Assumptions!E12</f>
        <v>37.743552000000015</v>
      </c>
      <c r="F14" s="22">
        <f>'Income Stmt'!F7*Assumptions!F12</f>
        <v>40.246113600000015</v>
      </c>
      <c r="G14" s="22">
        <f>'Income Stmt'!G7*Assumptions!G12</f>
        <v>42.499895961600018</v>
      </c>
    </row>
    <row r="15" spans="1:8" ht="15" customHeight="1" x14ac:dyDescent="0.3">
      <c r="A15" s="3" t="s">
        <v>114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8" ht="15" customHeight="1" x14ac:dyDescent="0.3">
      <c r="A16" s="19" t="s">
        <v>115</v>
      </c>
      <c r="B16" s="20">
        <f t="shared" ref="B16:G16" si="1">B13+B14-B15</f>
        <v>180</v>
      </c>
      <c r="C16" s="20">
        <f t="shared" si="1"/>
        <v>212.256</v>
      </c>
      <c r="D16" s="20">
        <f t="shared" si="1"/>
        <v>247.31424000000001</v>
      </c>
      <c r="E16" s="20">
        <f t="shared" si="1"/>
        <v>285.05779200000001</v>
      </c>
      <c r="F16" s="20">
        <f t="shared" si="1"/>
        <v>325.30390560000001</v>
      </c>
      <c r="G16" s="20">
        <f t="shared" si="1"/>
        <v>367.80380156160004</v>
      </c>
    </row>
    <row r="18" spans="1:8" ht="15" customHeight="1" x14ac:dyDescent="0.3">
      <c r="A18" s="10" t="s">
        <v>116</v>
      </c>
      <c r="B18" s="11"/>
      <c r="C18" s="11"/>
      <c r="D18" s="11"/>
      <c r="E18" s="11"/>
      <c r="F18" s="11"/>
      <c r="G18" s="11"/>
      <c r="H18" s="11"/>
    </row>
    <row r="19" spans="1:8" ht="15" customHeight="1" x14ac:dyDescent="0.3">
      <c r="A19" s="19" t="s">
        <v>117</v>
      </c>
      <c r="B19" s="20">
        <f t="shared" ref="B19:G19" si="2">B10-B16</f>
        <v>330</v>
      </c>
      <c r="C19" s="20">
        <f t="shared" si="2"/>
        <v>346.12800000000004</v>
      </c>
      <c r="D19" s="20">
        <f t="shared" si="2"/>
        <v>361.79232000000002</v>
      </c>
      <c r="E19" s="20">
        <f t="shared" si="2"/>
        <v>377.38204800000011</v>
      </c>
      <c r="F19" s="20">
        <f t="shared" si="2"/>
        <v>392.58613536000018</v>
      </c>
      <c r="G19" s="20">
        <f t="shared" si="2"/>
        <v>408.04064298240019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tabSelected="1" zoomScaleNormal="100" workbookViewId="0"/>
  </sheetViews>
  <sheetFormatPr defaultColWidth="8.6640625" defaultRowHeight="14.4" x14ac:dyDescent="0.3"/>
  <cols>
    <col min="1" max="1" width="34" customWidth="1"/>
    <col min="2" max="2" width="8.77734375" customWidth="1"/>
    <col min="3" max="8" width="11" customWidth="1"/>
  </cols>
  <sheetData>
    <row r="1" spans="1:8" ht="17.25" customHeight="1" x14ac:dyDescent="0.3">
      <c r="A1" s="1" t="s">
        <v>118</v>
      </c>
    </row>
    <row r="2" spans="1:8" ht="15" customHeight="1" x14ac:dyDescent="0.3">
      <c r="A2" s="2" t="s">
        <v>119</v>
      </c>
    </row>
    <row r="4" spans="1:8" ht="15" customHeight="1" x14ac:dyDescent="0.3">
      <c r="A4" s="7"/>
      <c r="B4" s="8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</row>
    <row r="6" spans="1:8" ht="15" customHeight="1" x14ac:dyDescent="0.3">
      <c r="A6" s="10" t="s">
        <v>120</v>
      </c>
      <c r="B6" s="11"/>
      <c r="C6" s="11"/>
      <c r="D6" s="11"/>
      <c r="E6" s="11"/>
      <c r="F6" s="11"/>
      <c r="G6" s="11"/>
      <c r="H6" s="11"/>
    </row>
    <row r="7" spans="1:8" ht="15" customHeight="1" x14ac:dyDescent="0.3">
      <c r="A7" s="3" t="s">
        <v>121</v>
      </c>
      <c r="B7" s="17">
        <v>200</v>
      </c>
      <c r="C7" s="18">
        <f>B11</f>
        <v>175</v>
      </c>
      <c r="D7" s="18">
        <f>C11</f>
        <v>150</v>
      </c>
      <c r="E7" s="18">
        <f>D11</f>
        <v>125</v>
      </c>
      <c r="F7" s="18">
        <f>E11</f>
        <v>100</v>
      </c>
      <c r="G7" s="18">
        <f>F11</f>
        <v>75</v>
      </c>
    </row>
    <row r="8" spans="1:8" ht="15" customHeight="1" x14ac:dyDescent="0.3">
      <c r="A8" s="3" t="s">
        <v>122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</row>
    <row r="9" spans="1:8" ht="15" customHeight="1" x14ac:dyDescent="0.3">
      <c r="A9" s="3" t="s">
        <v>123</v>
      </c>
      <c r="B9" s="17">
        <v>-25</v>
      </c>
      <c r="C9" s="22">
        <f>-Assumptions!C27</f>
        <v>-25</v>
      </c>
      <c r="D9" s="22">
        <f>-Assumptions!D27</f>
        <v>-25</v>
      </c>
      <c r="E9" s="22">
        <f>-Assumptions!E27</f>
        <v>-25</v>
      </c>
      <c r="F9" s="22">
        <f>-Assumptions!F27</f>
        <v>-25</v>
      </c>
      <c r="G9" s="22">
        <f>-Assumptions!G27</f>
        <v>-25</v>
      </c>
    </row>
    <row r="10" spans="1:8" ht="15" customHeight="1" x14ac:dyDescent="0.3">
      <c r="A10" s="3" t="s">
        <v>124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</row>
    <row r="11" spans="1:8" ht="15" customHeight="1" x14ac:dyDescent="0.3">
      <c r="A11" s="19" t="s">
        <v>125</v>
      </c>
      <c r="B11" s="20">
        <f t="shared" ref="B11:G11" si="0">MAX(0,B7+B8+B9+B10)</f>
        <v>175</v>
      </c>
      <c r="C11" s="20">
        <f t="shared" si="0"/>
        <v>150</v>
      </c>
      <c r="D11" s="20">
        <f t="shared" si="0"/>
        <v>125</v>
      </c>
      <c r="E11" s="20">
        <f t="shared" si="0"/>
        <v>100</v>
      </c>
      <c r="F11" s="20">
        <f t="shared" si="0"/>
        <v>75</v>
      </c>
      <c r="G11" s="20">
        <f t="shared" si="0"/>
        <v>50</v>
      </c>
    </row>
    <row r="13" spans="1:8" ht="15" customHeight="1" x14ac:dyDescent="0.3">
      <c r="A13" s="10" t="s">
        <v>126</v>
      </c>
      <c r="B13" s="11"/>
      <c r="C13" s="11"/>
      <c r="D13" s="11"/>
      <c r="E13" s="11"/>
      <c r="F13" s="11"/>
      <c r="G13" s="11"/>
      <c r="H13" s="11"/>
    </row>
    <row r="14" spans="1:8" ht="15" customHeight="1" x14ac:dyDescent="0.3">
      <c r="A14" s="3" t="s">
        <v>127</v>
      </c>
      <c r="B14" s="17">
        <v>200</v>
      </c>
      <c r="C14" s="18">
        <f>AVERAGE(B11,C11)</f>
        <v>162.5</v>
      </c>
      <c r="D14" s="18">
        <f>AVERAGE(C11,D11)</f>
        <v>137.5</v>
      </c>
      <c r="E14" s="18">
        <f>AVERAGE(D11,E11)</f>
        <v>112.5</v>
      </c>
      <c r="F14" s="18">
        <f>AVERAGE(E11,F11)</f>
        <v>87.5</v>
      </c>
      <c r="G14" s="18">
        <f>AVERAGE(F11,G11)</f>
        <v>62.5</v>
      </c>
    </row>
    <row r="15" spans="1:8" ht="15" customHeight="1" x14ac:dyDescent="0.3">
      <c r="A15" s="3" t="s">
        <v>128</v>
      </c>
      <c r="B15" s="21">
        <f>Assumptions!$B$26</f>
        <v>0.09</v>
      </c>
      <c r="C15" s="21">
        <f>Assumptions!$B$26</f>
        <v>0.09</v>
      </c>
      <c r="D15" s="21">
        <f>Assumptions!$B$26</f>
        <v>0.09</v>
      </c>
      <c r="E15" s="21">
        <f>Assumptions!$B$26</f>
        <v>0.09</v>
      </c>
      <c r="F15" s="21">
        <f>Assumptions!$B$26</f>
        <v>0.09</v>
      </c>
      <c r="G15" s="21">
        <f>Assumptions!$B$26</f>
        <v>0.09</v>
      </c>
    </row>
    <row r="16" spans="1:8" ht="15" customHeight="1" x14ac:dyDescent="0.3">
      <c r="A16" s="19" t="s">
        <v>129</v>
      </c>
      <c r="B16" s="17">
        <v>18</v>
      </c>
      <c r="C16" s="20">
        <f>C14*C15</f>
        <v>14.625</v>
      </c>
      <c r="D16" s="20">
        <f>D14*D15</f>
        <v>12.375</v>
      </c>
      <c r="E16" s="20">
        <f>E14*E15</f>
        <v>10.125</v>
      </c>
      <c r="F16" s="20">
        <f>F14*F15</f>
        <v>7.875</v>
      </c>
      <c r="G16" s="20">
        <f>G14*G15</f>
        <v>5.625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0.109375" customWidth="1"/>
    <col min="3" max="8" width="11" customWidth="1"/>
  </cols>
  <sheetData>
    <row r="1" spans="1:8" ht="17.25" customHeight="1" x14ac:dyDescent="0.3">
      <c r="A1" s="1" t="s">
        <v>130</v>
      </c>
    </row>
    <row r="2" spans="1:8" ht="15" customHeight="1" x14ac:dyDescent="0.3">
      <c r="A2" s="2" t="s">
        <v>131</v>
      </c>
    </row>
    <row r="4" spans="1:8" ht="15" customHeight="1" x14ac:dyDescent="0.3">
      <c r="A4" s="7"/>
      <c r="B4" s="8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</row>
    <row r="6" spans="1:8" ht="15" customHeight="1" x14ac:dyDescent="0.3">
      <c r="A6" s="10" t="s">
        <v>132</v>
      </c>
      <c r="B6" s="11"/>
      <c r="C6" s="11"/>
      <c r="D6" s="11"/>
      <c r="E6" s="11"/>
      <c r="F6" s="11"/>
      <c r="G6" s="11"/>
      <c r="H6" s="11"/>
    </row>
    <row r="7" spans="1:8" ht="15" customHeight="1" x14ac:dyDescent="0.3">
      <c r="A7" s="3" t="s">
        <v>65</v>
      </c>
      <c r="B7" s="23">
        <f>Assumptions!$B$16</f>
        <v>65</v>
      </c>
      <c r="C7" s="23">
        <f>Assumptions!$B$16</f>
        <v>65</v>
      </c>
      <c r="D7" s="23">
        <f>Assumptions!$B$16</f>
        <v>65</v>
      </c>
      <c r="E7" s="23">
        <f>Assumptions!$B$16</f>
        <v>65</v>
      </c>
      <c r="F7" s="23">
        <f>Assumptions!$B$16</f>
        <v>65</v>
      </c>
      <c r="G7" s="23">
        <f>Assumptions!$B$16</f>
        <v>65</v>
      </c>
    </row>
    <row r="8" spans="1:8" ht="15" customHeight="1" x14ac:dyDescent="0.3">
      <c r="A8" s="19" t="s">
        <v>133</v>
      </c>
      <c r="B8" s="17">
        <v>108</v>
      </c>
      <c r="C8" s="24">
        <f>'Income Stmt'!C7/365*Assumptions!$B$16</f>
        <v>119.67123287671234</v>
      </c>
      <c r="D8" s="24">
        <f>'Income Stmt'!D7/365*Assumptions!$B$16</f>
        <v>132.83506849315071</v>
      </c>
      <c r="E8" s="24">
        <f>'Income Stmt'!E7/365*Assumptions!$B$16</f>
        <v>146.11857534246582</v>
      </c>
      <c r="F8" s="24">
        <f>'Income Stmt'!F7/365*Assumptions!$B$16</f>
        <v>159.26924712328773</v>
      </c>
      <c r="G8" s="24">
        <f>'Income Stmt'!G7/365*Assumptions!$B$16</f>
        <v>172.01078689315077</v>
      </c>
    </row>
    <row r="10" spans="1:8" ht="15" customHeight="1" x14ac:dyDescent="0.3">
      <c r="A10" s="10" t="s">
        <v>134</v>
      </c>
      <c r="B10" s="11"/>
      <c r="C10" s="11"/>
      <c r="D10" s="11"/>
      <c r="E10" s="11"/>
      <c r="F10" s="11"/>
      <c r="G10" s="11"/>
      <c r="H10" s="11"/>
    </row>
    <row r="11" spans="1:8" ht="15" customHeight="1" x14ac:dyDescent="0.3">
      <c r="A11" s="3" t="s">
        <v>67</v>
      </c>
      <c r="B11" s="23">
        <f>Assumptions!$B$17</f>
        <v>77</v>
      </c>
      <c r="C11" s="23">
        <f>Assumptions!$B$17</f>
        <v>77</v>
      </c>
      <c r="D11" s="23">
        <f>Assumptions!$B$17</f>
        <v>77</v>
      </c>
      <c r="E11" s="23">
        <f>Assumptions!$B$17</f>
        <v>77</v>
      </c>
      <c r="F11" s="23">
        <f>Assumptions!$B$17</f>
        <v>77</v>
      </c>
      <c r="G11" s="23">
        <f>Assumptions!$B$17</f>
        <v>77</v>
      </c>
    </row>
    <row r="12" spans="1:8" ht="15" customHeight="1" x14ac:dyDescent="0.3">
      <c r="A12" s="3" t="s">
        <v>135</v>
      </c>
      <c r="B12" s="17">
        <v>426</v>
      </c>
      <c r="C12" s="22">
        <f>-'Income Stmt'!C9</f>
        <v>470.40000000000003</v>
      </c>
      <c r="D12" s="22">
        <f>-'Income Stmt'!D9</f>
        <v>518.41440000000011</v>
      </c>
      <c r="E12" s="22">
        <f>-'Income Stmt'!E9</f>
        <v>566.15328000000011</v>
      </c>
      <c r="F12" s="22">
        <f>-'Income Stmt'!F9</f>
        <v>612.63528480000036</v>
      </c>
      <c r="G12" s="22">
        <f>-'Income Stmt'!G9</f>
        <v>656.81657395200034</v>
      </c>
    </row>
    <row r="13" spans="1:8" ht="15" customHeight="1" x14ac:dyDescent="0.3">
      <c r="A13" s="19" t="s">
        <v>136</v>
      </c>
      <c r="B13" s="17">
        <v>90</v>
      </c>
      <c r="C13" s="25">
        <f>C12/365*Assumptions!$B$17</f>
        <v>99.235068493150692</v>
      </c>
      <c r="D13" s="25">
        <f>D12/365*Assumptions!$B$17</f>
        <v>109.36413369863017</v>
      </c>
      <c r="E13" s="25">
        <f>E12/365*Assumptions!$B$17</f>
        <v>119.43507550684933</v>
      </c>
      <c r="F13" s="25">
        <f>F12/365*Assumptions!$B$17</f>
        <v>129.24086830027406</v>
      </c>
      <c r="G13" s="25">
        <f>G12/365*Assumptions!$B$17</f>
        <v>138.56130464192884</v>
      </c>
    </row>
    <row r="15" spans="1:8" ht="15" customHeight="1" x14ac:dyDescent="0.3">
      <c r="A15" s="10" t="s">
        <v>137</v>
      </c>
      <c r="B15" s="11"/>
      <c r="C15" s="11"/>
      <c r="D15" s="11"/>
      <c r="E15" s="11"/>
      <c r="F15" s="11"/>
      <c r="G15" s="11"/>
      <c r="H15" s="11"/>
    </row>
    <row r="16" spans="1:8" ht="15" customHeight="1" x14ac:dyDescent="0.3">
      <c r="A16" s="3" t="s">
        <v>69</v>
      </c>
      <c r="B16" s="23">
        <f>Assumptions!$B$18</f>
        <v>61</v>
      </c>
      <c r="C16" s="23">
        <f>Assumptions!$B$18</f>
        <v>61</v>
      </c>
      <c r="D16" s="23">
        <f>Assumptions!$B$18</f>
        <v>61</v>
      </c>
      <c r="E16" s="23">
        <f>Assumptions!$B$18</f>
        <v>61</v>
      </c>
      <c r="F16" s="23">
        <f>Assumptions!$B$18</f>
        <v>61</v>
      </c>
      <c r="G16" s="23">
        <f>Assumptions!$B$18</f>
        <v>61</v>
      </c>
    </row>
    <row r="17" spans="1:8" ht="15" customHeight="1" x14ac:dyDescent="0.3">
      <c r="A17" s="19" t="s">
        <v>138</v>
      </c>
      <c r="B17" s="17">
        <v>71</v>
      </c>
      <c r="C17" s="25">
        <f>C12/365*Assumptions!$B$18</f>
        <v>78.61479452054796</v>
      </c>
      <c r="D17" s="25">
        <f>D12/365*Assumptions!$B$18</f>
        <v>86.639118904109608</v>
      </c>
      <c r="E17" s="25">
        <f>E12/365*Assumptions!$B$18</f>
        <v>94.617397479452066</v>
      </c>
      <c r="F17" s="25">
        <f>F12/365*Assumptions!$B$18</f>
        <v>102.38562293917815</v>
      </c>
      <c r="G17" s="25">
        <f>G12/365*Assumptions!$B$18</f>
        <v>109.76934523581376</v>
      </c>
    </row>
    <row r="19" spans="1:8" ht="15" customHeight="1" x14ac:dyDescent="0.3">
      <c r="A19" s="10" t="s">
        <v>139</v>
      </c>
      <c r="B19" s="11"/>
      <c r="C19" s="11"/>
      <c r="D19" s="11"/>
      <c r="E19" s="11"/>
      <c r="F19" s="11"/>
      <c r="G19" s="11"/>
      <c r="H19" s="11"/>
    </row>
    <row r="20" spans="1:8" ht="15" customHeight="1" x14ac:dyDescent="0.3">
      <c r="A20" s="19" t="s">
        <v>140</v>
      </c>
      <c r="B20" s="20">
        <f t="shared" ref="B20:G20" si="0">B8+B13-B17</f>
        <v>127</v>
      </c>
      <c r="C20" s="20">
        <f t="shared" si="0"/>
        <v>140.29150684931506</v>
      </c>
      <c r="D20" s="20">
        <f t="shared" si="0"/>
        <v>155.56008328767129</v>
      </c>
      <c r="E20" s="20">
        <f t="shared" si="0"/>
        <v>170.9362533698631</v>
      </c>
      <c r="F20" s="20">
        <f t="shared" si="0"/>
        <v>186.12449248438364</v>
      </c>
      <c r="G20" s="20">
        <f t="shared" si="0"/>
        <v>200.80274629926583</v>
      </c>
    </row>
    <row r="21" spans="1:8" ht="15" customHeight="1" x14ac:dyDescent="0.3">
      <c r="A21" s="19" t="s">
        <v>141</v>
      </c>
      <c r="B21" s="26">
        <v>0</v>
      </c>
      <c r="C21" s="20">
        <f>-(C20-B20)</f>
        <v>-13.291506849315056</v>
      </c>
      <c r="D21" s="20">
        <f>-(D20-C20)</f>
        <v>-15.268576438356234</v>
      </c>
      <c r="E21" s="20">
        <f>-(E20-D20)</f>
        <v>-15.376170082191805</v>
      </c>
      <c r="F21" s="20">
        <f>-(F20-E20)</f>
        <v>-15.188239114520542</v>
      </c>
      <c r="G21" s="20">
        <f>-(G20-F20)</f>
        <v>-14.678253814882197</v>
      </c>
    </row>
    <row r="22" spans="1:8" ht="15" customHeight="1" x14ac:dyDescent="0.3">
      <c r="A22" s="5" t="s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1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0.109375" customWidth="1"/>
    <col min="3" max="8" width="11" customWidth="1"/>
  </cols>
  <sheetData>
    <row r="1" spans="1:8" ht="17.25" customHeight="1" x14ac:dyDescent="0.3">
      <c r="A1" s="1" t="s">
        <v>143</v>
      </c>
    </row>
    <row r="2" spans="1:8" ht="15" customHeight="1" x14ac:dyDescent="0.3">
      <c r="A2" s="2" t="s">
        <v>144</v>
      </c>
    </row>
    <row r="4" spans="1:8" ht="15" customHeight="1" x14ac:dyDescent="0.3">
      <c r="A4" s="7"/>
      <c r="B4" s="8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</row>
    <row r="6" spans="1:8" ht="15" customHeight="1" x14ac:dyDescent="0.3">
      <c r="A6" s="10" t="s">
        <v>145</v>
      </c>
      <c r="B6" s="11"/>
      <c r="C6" s="11"/>
      <c r="D6" s="11"/>
      <c r="E6" s="11"/>
      <c r="F6" s="11"/>
      <c r="G6" s="11"/>
      <c r="H6" s="11"/>
    </row>
    <row r="7" spans="1:8" ht="15" customHeight="1" x14ac:dyDescent="0.3">
      <c r="A7" s="3" t="s">
        <v>146</v>
      </c>
      <c r="B7" s="17">
        <v>45</v>
      </c>
      <c r="C7" s="22">
        <f>'Cash Flow'!C29</f>
        <v>55.457743150684998</v>
      </c>
      <c r="D7" s="22">
        <f>'Cash Flow'!D29</f>
        <v>79.17631671232877</v>
      </c>
      <c r="E7" s="22">
        <f>'Cash Flow'!E29</f>
        <v>118.06317663013706</v>
      </c>
      <c r="F7" s="22">
        <f>'Cash Flow'!F29</f>
        <v>173.48325091561657</v>
      </c>
      <c r="G7" s="22">
        <f>'Cash Flow'!G29</f>
        <v>244.93306992673439</v>
      </c>
    </row>
    <row r="8" spans="1:8" ht="15" customHeight="1" x14ac:dyDescent="0.3">
      <c r="A8" s="3" t="s">
        <v>147</v>
      </c>
      <c r="B8" s="17">
        <v>108</v>
      </c>
      <c r="C8" s="22">
        <f>'Working Capital'!C8</f>
        <v>119.67123287671234</v>
      </c>
      <c r="D8" s="22">
        <f>'Working Capital'!D8</f>
        <v>132.83506849315071</v>
      </c>
      <c r="E8" s="22">
        <f>'Working Capital'!E8</f>
        <v>146.11857534246582</v>
      </c>
      <c r="F8" s="22">
        <f>'Working Capital'!F8</f>
        <v>159.26924712328773</v>
      </c>
      <c r="G8" s="22">
        <f>'Working Capital'!G8</f>
        <v>172.01078689315077</v>
      </c>
    </row>
    <row r="9" spans="1:8" ht="15" customHeight="1" x14ac:dyDescent="0.3">
      <c r="A9" s="3" t="s">
        <v>148</v>
      </c>
      <c r="B9" s="17">
        <v>90</v>
      </c>
      <c r="C9" s="22">
        <f>'Working Capital'!C13</f>
        <v>99.235068493150692</v>
      </c>
      <c r="D9" s="22">
        <f>'Working Capital'!D13</f>
        <v>109.36413369863017</v>
      </c>
      <c r="E9" s="22">
        <f>'Working Capital'!E13</f>
        <v>119.43507550684933</v>
      </c>
      <c r="F9" s="22">
        <f>'Working Capital'!F13</f>
        <v>129.24086830027406</v>
      </c>
      <c r="G9" s="22">
        <f>'Working Capital'!G13</f>
        <v>138.56130464192884</v>
      </c>
    </row>
    <row r="10" spans="1:8" ht="15" customHeight="1" x14ac:dyDescent="0.3">
      <c r="A10" s="3" t="s">
        <v>149</v>
      </c>
      <c r="B10" s="17">
        <v>8</v>
      </c>
      <c r="C10" s="22">
        <f>B10</f>
        <v>8</v>
      </c>
      <c r="D10" s="22">
        <f>B10</f>
        <v>8</v>
      </c>
      <c r="E10" s="22">
        <f>B10</f>
        <v>8</v>
      </c>
      <c r="F10" s="22">
        <f>B10</f>
        <v>8</v>
      </c>
      <c r="G10" s="22">
        <f>B10</f>
        <v>8</v>
      </c>
    </row>
    <row r="11" spans="1:8" ht="15" customHeight="1" x14ac:dyDescent="0.3">
      <c r="A11" s="19" t="s">
        <v>150</v>
      </c>
      <c r="B11" s="20">
        <f t="shared" ref="B11:G11" si="0">B7+B8+B9+B10</f>
        <v>251</v>
      </c>
      <c r="C11" s="20">
        <f t="shared" si="0"/>
        <v>282.36404452054802</v>
      </c>
      <c r="D11" s="20">
        <f t="shared" si="0"/>
        <v>329.37551890410964</v>
      </c>
      <c r="E11" s="20">
        <f t="shared" si="0"/>
        <v>391.61682747945224</v>
      </c>
      <c r="F11" s="20">
        <f t="shared" si="0"/>
        <v>469.99336633917835</v>
      </c>
      <c r="G11" s="20">
        <f t="shared" si="0"/>
        <v>563.50516146181394</v>
      </c>
    </row>
    <row r="13" spans="1:8" ht="15" customHeight="1" x14ac:dyDescent="0.3">
      <c r="A13" s="10" t="s">
        <v>151</v>
      </c>
      <c r="B13" s="11"/>
      <c r="C13" s="11"/>
      <c r="D13" s="11"/>
      <c r="E13" s="11"/>
      <c r="F13" s="11"/>
      <c r="G13" s="11"/>
      <c r="H13" s="11"/>
    </row>
    <row r="14" spans="1:8" ht="15" customHeight="1" x14ac:dyDescent="0.3">
      <c r="A14" s="3" t="s">
        <v>152</v>
      </c>
      <c r="B14" s="17">
        <v>330</v>
      </c>
      <c r="C14" s="22">
        <f>'PP&amp;E Schedule'!C19</f>
        <v>346.12800000000004</v>
      </c>
      <c r="D14" s="22">
        <f>'PP&amp;E Schedule'!D19</f>
        <v>361.79232000000002</v>
      </c>
      <c r="E14" s="22">
        <f>'PP&amp;E Schedule'!E19</f>
        <v>377.38204800000011</v>
      </c>
      <c r="F14" s="22">
        <f>'PP&amp;E Schedule'!F19</f>
        <v>392.58613536000018</v>
      </c>
      <c r="G14" s="22">
        <f>'PP&amp;E Schedule'!G19</f>
        <v>408.04064298240019</v>
      </c>
    </row>
    <row r="15" spans="1:8" ht="15" customHeight="1" x14ac:dyDescent="0.3">
      <c r="A15" s="3" t="s">
        <v>153</v>
      </c>
      <c r="B15" s="17">
        <v>20</v>
      </c>
      <c r="C15" s="18">
        <f>$B$15</f>
        <v>20</v>
      </c>
      <c r="D15" s="18">
        <f>$B$15</f>
        <v>20</v>
      </c>
      <c r="E15" s="18">
        <f>$B$15</f>
        <v>20</v>
      </c>
      <c r="F15" s="18">
        <f>$B$15</f>
        <v>20</v>
      </c>
      <c r="G15" s="18">
        <f>$B$15</f>
        <v>20</v>
      </c>
    </row>
    <row r="16" spans="1:8" ht="15" customHeight="1" x14ac:dyDescent="0.3">
      <c r="A16" s="19" t="s">
        <v>154</v>
      </c>
      <c r="B16" s="20">
        <f t="shared" ref="B16:G16" si="1">B14+B15</f>
        <v>350</v>
      </c>
      <c r="C16" s="20">
        <f t="shared" si="1"/>
        <v>366.12800000000004</v>
      </c>
      <c r="D16" s="20">
        <f t="shared" si="1"/>
        <v>381.79232000000002</v>
      </c>
      <c r="E16" s="20">
        <f t="shared" si="1"/>
        <v>397.38204800000011</v>
      </c>
      <c r="F16" s="20">
        <f t="shared" si="1"/>
        <v>412.58613536000018</v>
      </c>
      <c r="G16" s="20">
        <f t="shared" si="1"/>
        <v>428.04064298240019</v>
      </c>
    </row>
    <row r="17" spans="1:8" ht="15" customHeight="1" x14ac:dyDescent="0.3">
      <c r="A17" s="19" t="s">
        <v>155</v>
      </c>
      <c r="B17" s="20">
        <f t="shared" ref="B17:G17" si="2">B11+B16</f>
        <v>601</v>
      </c>
      <c r="C17" s="20">
        <f t="shared" si="2"/>
        <v>648.49204452054801</v>
      </c>
      <c r="D17" s="20">
        <f t="shared" si="2"/>
        <v>711.16783890410966</v>
      </c>
      <c r="E17" s="20">
        <f t="shared" si="2"/>
        <v>788.99887547945241</v>
      </c>
      <c r="F17" s="20">
        <f t="shared" si="2"/>
        <v>882.57950169917854</v>
      </c>
      <c r="G17" s="20">
        <f t="shared" si="2"/>
        <v>991.54580444421413</v>
      </c>
    </row>
    <row r="19" spans="1:8" ht="15" customHeight="1" x14ac:dyDescent="0.3">
      <c r="A19" s="10" t="s">
        <v>156</v>
      </c>
      <c r="B19" s="11"/>
      <c r="C19" s="11"/>
      <c r="D19" s="11"/>
      <c r="E19" s="11"/>
      <c r="F19" s="11"/>
      <c r="G19" s="11"/>
      <c r="H19" s="11"/>
    </row>
    <row r="20" spans="1:8" ht="15" customHeight="1" x14ac:dyDescent="0.3">
      <c r="A20" s="3" t="s">
        <v>157</v>
      </c>
      <c r="B20" s="17">
        <v>71</v>
      </c>
      <c r="C20" s="22">
        <f>'Working Capital'!C17</f>
        <v>78.61479452054796</v>
      </c>
      <c r="D20" s="22">
        <f>'Working Capital'!D17</f>
        <v>86.639118904109608</v>
      </c>
      <c r="E20" s="22">
        <f>'Working Capital'!E17</f>
        <v>94.617397479452066</v>
      </c>
      <c r="F20" s="22">
        <f>'Working Capital'!F17</f>
        <v>102.38562293917815</v>
      </c>
      <c r="G20" s="22">
        <f>'Working Capital'!G17</f>
        <v>109.76934523581376</v>
      </c>
    </row>
    <row r="21" spans="1:8" ht="15" customHeight="1" x14ac:dyDescent="0.3">
      <c r="A21" s="3" t="s">
        <v>158</v>
      </c>
      <c r="B21" s="17">
        <v>18</v>
      </c>
      <c r="C21" s="22">
        <f>'Income Stmt'!C7*0.03</f>
        <v>20.160000000000004</v>
      </c>
      <c r="D21" s="22">
        <f>'Income Stmt'!D7*0.03</f>
        <v>22.377600000000005</v>
      </c>
      <c r="E21" s="22">
        <f>'Income Stmt'!E7*0.03</f>
        <v>24.615360000000006</v>
      </c>
      <c r="F21" s="22">
        <f>'Income Stmt'!F7*0.03</f>
        <v>26.830742400000013</v>
      </c>
      <c r="G21" s="22">
        <f>'Income Stmt'!G7*0.03</f>
        <v>28.977201792000013</v>
      </c>
    </row>
    <row r="22" spans="1:8" ht="15" customHeight="1" x14ac:dyDescent="0.3">
      <c r="A22" s="3" t="s">
        <v>159</v>
      </c>
      <c r="B22" s="17">
        <v>25</v>
      </c>
      <c r="C22" s="18">
        <f>Assumptions!$C$27</f>
        <v>25</v>
      </c>
      <c r="D22" s="18">
        <f>Assumptions!$C$27</f>
        <v>25</v>
      </c>
      <c r="E22" s="18">
        <f>Assumptions!$C$27</f>
        <v>25</v>
      </c>
      <c r="F22" s="18">
        <f>Assumptions!$C$27</f>
        <v>25</v>
      </c>
      <c r="G22" s="18">
        <f>Assumptions!$C$27</f>
        <v>25</v>
      </c>
    </row>
    <row r="23" spans="1:8" ht="15" customHeight="1" x14ac:dyDescent="0.3">
      <c r="A23" s="19" t="s">
        <v>160</v>
      </c>
      <c r="B23" s="20">
        <f t="shared" ref="B23:G23" si="3">B20+B21+B22</f>
        <v>114</v>
      </c>
      <c r="C23" s="20">
        <f t="shared" si="3"/>
        <v>123.77479452054797</v>
      </c>
      <c r="D23" s="20">
        <f t="shared" si="3"/>
        <v>134.01671890410961</v>
      </c>
      <c r="E23" s="20">
        <f t="shared" si="3"/>
        <v>144.23275747945206</v>
      </c>
      <c r="F23" s="20">
        <f t="shared" si="3"/>
        <v>154.21636533917817</v>
      </c>
      <c r="G23" s="20">
        <f t="shared" si="3"/>
        <v>163.74654702781376</v>
      </c>
    </row>
    <row r="25" spans="1:8" ht="15" customHeight="1" x14ac:dyDescent="0.3">
      <c r="A25" s="10" t="s">
        <v>161</v>
      </c>
      <c r="B25" s="11"/>
      <c r="C25" s="11"/>
      <c r="D25" s="11"/>
      <c r="E25" s="11"/>
      <c r="F25" s="11"/>
      <c r="G25" s="11"/>
      <c r="H25" s="11"/>
    </row>
    <row r="26" spans="1:8" ht="15" customHeight="1" x14ac:dyDescent="0.3">
      <c r="A26" s="3" t="s">
        <v>162</v>
      </c>
      <c r="B26" s="17">
        <v>150</v>
      </c>
      <c r="C26" s="22">
        <f>MAX(0,'Debt Schedule'!C11-C22)</f>
        <v>125</v>
      </c>
      <c r="D26" s="22">
        <f>MAX(0,'Debt Schedule'!D11-D22)</f>
        <v>100</v>
      </c>
      <c r="E26" s="22">
        <f>MAX(0,'Debt Schedule'!E11-E22)</f>
        <v>75</v>
      </c>
      <c r="F26" s="22">
        <f>MAX(0,'Debt Schedule'!F11-F22)</f>
        <v>50</v>
      </c>
      <c r="G26" s="22">
        <f>MAX(0,'Debt Schedule'!G11-G22)</f>
        <v>25</v>
      </c>
    </row>
    <row r="27" spans="1:8" ht="15" customHeight="1" x14ac:dyDescent="0.3">
      <c r="A27" s="3" t="s">
        <v>163</v>
      </c>
      <c r="B27" s="17">
        <v>12</v>
      </c>
      <c r="C27" s="18">
        <f>B27*1.03</f>
        <v>12.36</v>
      </c>
      <c r="D27" s="18">
        <f>C27*1.03</f>
        <v>12.7308</v>
      </c>
      <c r="E27" s="18">
        <f>D27*1.03</f>
        <v>13.112724</v>
      </c>
      <c r="F27" s="18">
        <f>E27*1.03</f>
        <v>13.506105720000001</v>
      </c>
      <c r="G27" s="18">
        <f>F27*1.03</f>
        <v>13.911288891600002</v>
      </c>
    </row>
    <row r="28" spans="1:8" ht="15" customHeight="1" x14ac:dyDescent="0.3">
      <c r="A28" s="19" t="s">
        <v>164</v>
      </c>
      <c r="B28" s="20">
        <f t="shared" ref="B28:G28" si="4">B26+B27</f>
        <v>162</v>
      </c>
      <c r="C28" s="20">
        <f t="shared" si="4"/>
        <v>137.36000000000001</v>
      </c>
      <c r="D28" s="20">
        <f t="shared" si="4"/>
        <v>112.7308</v>
      </c>
      <c r="E28" s="20">
        <f t="shared" si="4"/>
        <v>88.112724</v>
      </c>
      <c r="F28" s="20">
        <f t="shared" si="4"/>
        <v>63.506105720000001</v>
      </c>
      <c r="G28" s="20">
        <f t="shared" si="4"/>
        <v>38.911288891600002</v>
      </c>
    </row>
    <row r="29" spans="1:8" ht="15" customHeight="1" x14ac:dyDescent="0.3">
      <c r="A29" s="19" t="s">
        <v>165</v>
      </c>
      <c r="B29" s="20">
        <f t="shared" ref="B29:G29" si="5">B23+B28</f>
        <v>276</v>
      </c>
      <c r="C29" s="20">
        <f t="shared" si="5"/>
        <v>261.13479452054798</v>
      </c>
      <c r="D29" s="20">
        <f t="shared" si="5"/>
        <v>246.7475189041096</v>
      </c>
      <c r="E29" s="20">
        <f t="shared" si="5"/>
        <v>232.34548147945208</v>
      </c>
      <c r="F29" s="20">
        <f t="shared" si="5"/>
        <v>217.72247105917816</v>
      </c>
      <c r="G29" s="20">
        <f t="shared" si="5"/>
        <v>202.65783591941377</v>
      </c>
    </row>
    <row r="31" spans="1:8" ht="15" customHeight="1" x14ac:dyDescent="0.3">
      <c r="A31" s="10" t="s">
        <v>166</v>
      </c>
      <c r="B31" s="11"/>
      <c r="C31" s="11"/>
      <c r="D31" s="11"/>
      <c r="E31" s="11"/>
      <c r="F31" s="11"/>
      <c r="G31" s="11"/>
      <c r="H31" s="11"/>
    </row>
    <row r="32" spans="1:8" ht="15" customHeight="1" x14ac:dyDescent="0.3">
      <c r="A32" s="3" t="s">
        <v>167</v>
      </c>
      <c r="B32" s="17">
        <v>50</v>
      </c>
      <c r="C32" s="18">
        <f>B32</f>
        <v>50</v>
      </c>
      <c r="D32" s="18">
        <f>C32</f>
        <v>50</v>
      </c>
      <c r="E32" s="18">
        <f>D32</f>
        <v>50</v>
      </c>
      <c r="F32" s="18">
        <f>E32</f>
        <v>50</v>
      </c>
      <c r="G32" s="18">
        <f>F32</f>
        <v>50</v>
      </c>
    </row>
    <row r="33" spans="1:7" ht="15" customHeight="1" x14ac:dyDescent="0.3">
      <c r="A33" s="3" t="s">
        <v>168</v>
      </c>
      <c r="B33" s="17">
        <v>275</v>
      </c>
      <c r="C33" s="18">
        <f>B36</f>
        <v>275</v>
      </c>
      <c r="D33" s="18">
        <f>C36</f>
        <v>337.35725000000002</v>
      </c>
      <c r="E33" s="18">
        <f>D36</f>
        <v>414.42032000000006</v>
      </c>
      <c r="F33" s="18">
        <f>E36</f>
        <v>506.65339400000016</v>
      </c>
      <c r="G33" s="18">
        <f>F36</f>
        <v>614.85703064000018</v>
      </c>
    </row>
    <row r="34" spans="1:7" ht="15" customHeight="1" x14ac:dyDescent="0.3">
      <c r="A34" s="3" t="s">
        <v>169</v>
      </c>
      <c r="B34" s="17">
        <v>0</v>
      </c>
      <c r="C34" s="22">
        <f>'Income Stmt'!C28</f>
        <v>62.357250000000043</v>
      </c>
      <c r="D34" s="22">
        <f>'Income Stmt'!D28</f>
        <v>77.06307000000001</v>
      </c>
      <c r="E34" s="22">
        <f>'Income Stmt'!E28</f>
        <v>92.233074000000101</v>
      </c>
      <c r="F34" s="22">
        <f>'Income Stmt'!F28</f>
        <v>108.20363664000003</v>
      </c>
      <c r="G34" s="22">
        <f>'Income Stmt'!G28</f>
        <v>124.03093788480005</v>
      </c>
    </row>
    <row r="35" spans="1:7" ht="15" customHeight="1" x14ac:dyDescent="0.3">
      <c r="A35" s="3" t="s">
        <v>170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</row>
    <row r="36" spans="1:7" ht="15" customHeight="1" x14ac:dyDescent="0.3">
      <c r="A36" s="19" t="s">
        <v>171</v>
      </c>
      <c r="B36" s="20">
        <f t="shared" ref="B36:G36" si="6">B33+B34+B35</f>
        <v>275</v>
      </c>
      <c r="C36" s="20">
        <f t="shared" si="6"/>
        <v>337.35725000000002</v>
      </c>
      <c r="D36" s="20">
        <f t="shared" si="6"/>
        <v>414.42032000000006</v>
      </c>
      <c r="E36" s="20">
        <f t="shared" si="6"/>
        <v>506.65339400000016</v>
      </c>
      <c r="F36" s="20">
        <f t="shared" si="6"/>
        <v>614.85703064000018</v>
      </c>
      <c r="G36" s="20">
        <f t="shared" si="6"/>
        <v>738.88796852480027</v>
      </c>
    </row>
    <row r="37" spans="1:7" ht="15" customHeight="1" x14ac:dyDescent="0.3">
      <c r="A37" s="19" t="s">
        <v>172</v>
      </c>
      <c r="B37" s="20">
        <f t="shared" ref="B37:G37" si="7">B32+B36</f>
        <v>325</v>
      </c>
      <c r="C37" s="20">
        <f t="shared" si="7"/>
        <v>387.35725000000002</v>
      </c>
      <c r="D37" s="20">
        <f t="shared" si="7"/>
        <v>464.42032000000006</v>
      </c>
      <c r="E37" s="20">
        <f t="shared" si="7"/>
        <v>556.65339400000016</v>
      </c>
      <c r="F37" s="20">
        <f t="shared" si="7"/>
        <v>664.85703064000018</v>
      </c>
      <c r="G37" s="20">
        <f t="shared" si="7"/>
        <v>788.88796852480027</v>
      </c>
    </row>
    <row r="38" spans="1:7" ht="15" customHeight="1" x14ac:dyDescent="0.3">
      <c r="A38" s="19" t="s">
        <v>173</v>
      </c>
      <c r="B38" s="20">
        <f t="shared" ref="B38:G38" si="8">B29+B37</f>
        <v>601</v>
      </c>
      <c r="C38" s="20">
        <f t="shared" si="8"/>
        <v>648.49204452054801</v>
      </c>
      <c r="D38" s="20">
        <f t="shared" si="8"/>
        <v>711.16783890410966</v>
      </c>
      <c r="E38" s="20">
        <f t="shared" si="8"/>
        <v>788.99887547945218</v>
      </c>
      <c r="F38" s="20">
        <f t="shared" si="8"/>
        <v>882.57950169917831</v>
      </c>
      <c r="G38" s="20">
        <f t="shared" si="8"/>
        <v>991.54580444421401</v>
      </c>
    </row>
    <row r="40" spans="1:7" ht="15" customHeight="1" x14ac:dyDescent="0.3">
      <c r="A40" s="27" t="s">
        <v>174</v>
      </c>
      <c r="B40" s="28">
        <f t="shared" ref="B40:G40" si="9">B17-B38</f>
        <v>0</v>
      </c>
      <c r="C40" s="28">
        <f t="shared" si="9"/>
        <v>0</v>
      </c>
      <c r="D40" s="28">
        <f t="shared" si="9"/>
        <v>0</v>
      </c>
      <c r="E40" s="28">
        <f t="shared" si="9"/>
        <v>0</v>
      </c>
      <c r="F40" s="28">
        <f t="shared" si="9"/>
        <v>0</v>
      </c>
      <c r="G40" s="28">
        <f t="shared" si="9"/>
        <v>0</v>
      </c>
    </row>
    <row r="41" spans="1:7" ht="15" customHeight="1" x14ac:dyDescent="0.3">
      <c r="A41" s="6" t="s">
        <v>175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2"/>
  <sheetViews>
    <sheetView zoomScaleNormal="100" workbookViewId="0">
      <selection activeCell="C1" sqref="C1:C1048576"/>
    </sheetView>
  </sheetViews>
  <sheetFormatPr defaultColWidth="8.6640625" defaultRowHeight="14.4" x14ac:dyDescent="0.3"/>
  <cols>
    <col min="1" max="1" width="36" customWidth="1"/>
    <col min="2" max="2" width="8.33203125" customWidth="1"/>
    <col min="3" max="8" width="11" customWidth="1"/>
  </cols>
  <sheetData>
    <row r="1" spans="1:8" ht="17.25" customHeight="1" x14ac:dyDescent="0.3">
      <c r="A1" s="1" t="s">
        <v>176</v>
      </c>
    </row>
    <row r="2" spans="1:8" ht="15" customHeight="1" x14ac:dyDescent="0.3">
      <c r="A2" s="2" t="s">
        <v>177</v>
      </c>
    </row>
    <row r="4" spans="1:8" ht="15" customHeight="1" x14ac:dyDescent="0.3">
      <c r="A4" s="7"/>
      <c r="B4" s="8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</row>
    <row r="6" spans="1:8" ht="15" customHeight="1" x14ac:dyDescent="0.3">
      <c r="A6" s="10" t="s">
        <v>178</v>
      </c>
      <c r="B6" s="11"/>
      <c r="C6" s="11"/>
      <c r="D6" s="11"/>
      <c r="E6" s="11"/>
      <c r="F6" s="11"/>
      <c r="G6" s="11"/>
      <c r="H6" s="11"/>
    </row>
    <row r="7" spans="1:8" ht="15" customHeight="1" x14ac:dyDescent="0.3">
      <c r="A7" s="3" t="s">
        <v>102</v>
      </c>
      <c r="B7" s="17">
        <v>46.5</v>
      </c>
      <c r="C7" s="22">
        <f>'Income Stmt'!C28</f>
        <v>62.357250000000043</v>
      </c>
      <c r="D7" s="22">
        <f>'Income Stmt'!D28</f>
        <v>77.06307000000001</v>
      </c>
      <c r="E7" s="22">
        <f>'Income Stmt'!E28</f>
        <v>92.233074000000101</v>
      </c>
      <c r="F7" s="22">
        <f>'Income Stmt'!F28</f>
        <v>108.20363664000003</v>
      </c>
      <c r="G7" s="22">
        <f>'Income Stmt'!G28</f>
        <v>124.03093788480005</v>
      </c>
    </row>
    <row r="8" spans="1:8" ht="15" customHeight="1" x14ac:dyDescent="0.3">
      <c r="A8" s="3" t="s">
        <v>179</v>
      </c>
      <c r="B8" s="17">
        <v>30</v>
      </c>
      <c r="C8" s="22">
        <f>'PP&amp;E Schedule'!C14</f>
        <v>32.256000000000007</v>
      </c>
      <c r="D8" s="22">
        <f>'PP&amp;E Schedule'!D14</f>
        <v>35.058240000000012</v>
      </c>
      <c r="E8" s="22">
        <f>'PP&amp;E Schedule'!E14</f>
        <v>37.743552000000015</v>
      </c>
      <c r="F8" s="22">
        <f>'PP&amp;E Schedule'!F14</f>
        <v>40.246113600000015</v>
      </c>
      <c r="G8" s="22">
        <f>'PP&amp;E Schedule'!G14</f>
        <v>42.499895961600018</v>
      </c>
    </row>
    <row r="9" spans="1:8" ht="15" customHeight="1" x14ac:dyDescent="0.3">
      <c r="A9" s="3" t="s">
        <v>180</v>
      </c>
      <c r="B9" s="17">
        <v>0</v>
      </c>
      <c r="C9" s="22">
        <f>'Working Capital'!C21</f>
        <v>-13.291506849315056</v>
      </c>
      <c r="D9" s="22">
        <f>'Working Capital'!D21</f>
        <v>-15.268576438356234</v>
      </c>
      <c r="E9" s="22">
        <f>'Working Capital'!E21</f>
        <v>-15.376170082191805</v>
      </c>
      <c r="F9" s="22">
        <f>'Working Capital'!F21</f>
        <v>-15.188239114520542</v>
      </c>
      <c r="G9" s="22">
        <f>'Working Capital'!G21</f>
        <v>-14.678253814882197</v>
      </c>
    </row>
    <row r="10" spans="1:8" ht="15" customHeight="1" x14ac:dyDescent="0.3">
      <c r="A10" s="3" t="s">
        <v>181</v>
      </c>
      <c r="B10" s="17">
        <v>1</v>
      </c>
      <c r="C10" s="22">
        <f>'Balance Sheet'!C27-'Balance Sheet'!B27</f>
        <v>0.35999999999999943</v>
      </c>
      <c r="D10" s="22">
        <f>'Balance Sheet'!D27-'Balance Sheet'!C27</f>
        <v>0.37080000000000091</v>
      </c>
      <c r="E10" s="22">
        <f>'Balance Sheet'!E27-'Balance Sheet'!D27</f>
        <v>0.38192399999999971</v>
      </c>
      <c r="F10" s="22">
        <f>'Balance Sheet'!F27-'Balance Sheet'!E27</f>
        <v>0.39338172000000071</v>
      </c>
      <c r="G10" s="22">
        <f>'Balance Sheet'!G27-'Balance Sheet'!F27</f>
        <v>0.40518317160000095</v>
      </c>
    </row>
    <row r="11" spans="1:8" ht="15" customHeight="1" x14ac:dyDescent="0.3">
      <c r="A11" s="3" t="s">
        <v>182</v>
      </c>
      <c r="B11" s="17">
        <v>1.5</v>
      </c>
      <c r="C11" s="22">
        <f>'Balance Sheet'!C21-'Balance Sheet'!B21</f>
        <v>2.1600000000000037</v>
      </c>
      <c r="D11" s="22">
        <f>'Balance Sheet'!D21-'Balance Sheet'!C21</f>
        <v>2.2176000000000009</v>
      </c>
      <c r="E11" s="22">
        <f>'Balance Sheet'!E21-'Balance Sheet'!D21</f>
        <v>2.2377600000000015</v>
      </c>
      <c r="F11" s="22">
        <f>'Balance Sheet'!F21-'Balance Sheet'!E21</f>
        <v>2.2153824000000064</v>
      </c>
      <c r="G11" s="22">
        <f>'Balance Sheet'!G21-'Balance Sheet'!F21</f>
        <v>2.1464593920000006</v>
      </c>
    </row>
    <row r="12" spans="1:8" ht="15" customHeight="1" x14ac:dyDescent="0.3">
      <c r="A12" s="19" t="s">
        <v>183</v>
      </c>
      <c r="B12" s="20">
        <f t="shared" ref="B12:G12" si="0">B7+B8+B9+B10+B11</f>
        <v>79</v>
      </c>
      <c r="C12" s="20">
        <f t="shared" si="0"/>
        <v>83.841743150685005</v>
      </c>
      <c r="D12" s="20">
        <f t="shared" si="0"/>
        <v>99.441133561643795</v>
      </c>
      <c r="E12" s="20">
        <f t="shared" si="0"/>
        <v>117.22013991780832</v>
      </c>
      <c r="F12" s="20">
        <f t="shared" si="0"/>
        <v>135.87027524547952</v>
      </c>
      <c r="G12" s="20">
        <f t="shared" si="0"/>
        <v>154.40422259511786</v>
      </c>
    </row>
    <row r="14" spans="1:8" ht="15" customHeight="1" x14ac:dyDescent="0.3">
      <c r="A14" s="10" t="s">
        <v>184</v>
      </c>
      <c r="B14" s="11"/>
      <c r="C14" s="11"/>
      <c r="D14" s="11"/>
      <c r="E14" s="11"/>
      <c r="F14" s="11"/>
      <c r="G14" s="11"/>
      <c r="H14" s="11"/>
    </row>
    <row r="15" spans="1:8" ht="15" customHeight="1" x14ac:dyDescent="0.3">
      <c r="A15" s="3" t="s">
        <v>185</v>
      </c>
      <c r="B15" s="17">
        <v>-45</v>
      </c>
      <c r="C15" s="22">
        <f>-'PP&amp;E Schedule'!C8</f>
        <v>-48.384000000000007</v>
      </c>
      <c r="D15" s="22">
        <f>-'PP&amp;E Schedule'!D8</f>
        <v>-50.722560000000016</v>
      </c>
      <c r="E15" s="22">
        <f>-'PP&amp;E Schedule'!E8</f>
        <v>-53.333280000000023</v>
      </c>
      <c r="F15" s="22">
        <f>-'PP&amp;E Schedule'!F8</f>
        <v>-55.450200960000025</v>
      </c>
      <c r="G15" s="22">
        <f>-'PP&amp;E Schedule'!G8</f>
        <v>-57.954403584000026</v>
      </c>
    </row>
    <row r="16" spans="1:8" ht="15" customHeight="1" x14ac:dyDescent="0.3">
      <c r="A16" s="3" t="s">
        <v>186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</row>
    <row r="17" spans="1:8" ht="15" customHeight="1" x14ac:dyDescent="0.3">
      <c r="A17" s="19" t="s">
        <v>187</v>
      </c>
      <c r="B17" s="20">
        <f t="shared" ref="B17:G17" si="1">B15+B16</f>
        <v>-45</v>
      </c>
      <c r="C17" s="20">
        <f t="shared" si="1"/>
        <v>-48.384000000000007</v>
      </c>
      <c r="D17" s="20">
        <f t="shared" si="1"/>
        <v>-50.722560000000016</v>
      </c>
      <c r="E17" s="20">
        <f t="shared" si="1"/>
        <v>-53.333280000000023</v>
      </c>
      <c r="F17" s="20">
        <f t="shared" si="1"/>
        <v>-55.450200960000025</v>
      </c>
      <c r="G17" s="20">
        <f t="shared" si="1"/>
        <v>-57.954403584000026</v>
      </c>
    </row>
    <row r="19" spans="1:8" ht="15" customHeight="1" x14ac:dyDescent="0.3">
      <c r="A19" s="10" t="s">
        <v>188</v>
      </c>
      <c r="B19" s="11"/>
      <c r="C19" s="11"/>
      <c r="D19" s="11"/>
      <c r="E19" s="11"/>
      <c r="F19" s="11"/>
      <c r="G19" s="11"/>
      <c r="H19" s="11"/>
    </row>
    <row r="20" spans="1:8" ht="15" customHeight="1" x14ac:dyDescent="0.3">
      <c r="A20" s="3" t="s">
        <v>189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</row>
    <row r="21" spans="1:8" ht="15" customHeight="1" x14ac:dyDescent="0.3">
      <c r="A21" s="3" t="s">
        <v>190</v>
      </c>
      <c r="B21" s="17">
        <v>-25</v>
      </c>
      <c r="C21" s="22">
        <f>'Debt Schedule'!C9</f>
        <v>-25</v>
      </c>
      <c r="D21" s="22">
        <f>'Debt Schedule'!D9</f>
        <v>-25</v>
      </c>
      <c r="E21" s="22">
        <f>'Debt Schedule'!E9</f>
        <v>-25</v>
      </c>
      <c r="F21" s="22">
        <f>'Debt Schedule'!F9</f>
        <v>-25</v>
      </c>
      <c r="G21" s="22">
        <f>'Debt Schedule'!G9</f>
        <v>-25</v>
      </c>
    </row>
    <row r="22" spans="1:8" ht="15" customHeight="1" x14ac:dyDescent="0.3">
      <c r="A22" s="3" t="s">
        <v>191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</row>
    <row r="23" spans="1:8" ht="15" customHeight="1" x14ac:dyDescent="0.3">
      <c r="A23" s="3" t="s">
        <v>192</v>
      </c>
      <c r="B23" s="22">
        <f>-'Balance Sheet'!B35</f>
        <v>0</v>
      </c>
      <c r="C23" s="22">
        <f>-'Balance Sheet'!C35</f>
        <v>0</v>
      </c>
      <c r="D23" s="22">
        <f>-'Balance Sheet'!D35</f>
        <v>0</v>
      </c>
      <c r="E23" s="22">
        <f>-'Balance Sheet'!E35</f>
        <v>0</v>
      </c>
      <c r="F23" s="22">
        <f>-'Balance Sheet'!F35</f>
        <v>0</v>
      </c>
      <c r="G23" s="22">
        <f>-'Balance Sheet'!G35</f>
        <v>0</v>
      </c>
    </row>
    <row r="24" spans="1:8" ht="15" customHeight="1" x14ac:dyDescent="0.3">
      <c r="A24" s="19" t="s">
        <v>193</v>
      </c>
      <c r="B24" s="20">
        <f t="shared" ref="B24:G24" si="2">B20+B21+B22+B23</f>
        <v>-25</v>
      </c>
      <c r="C24" s="20">
        <f t="shared" si="2"/>
        <v>-25</v>
      </c>
      <c r="D24" s="20">
        <f t="shared" si="2"/>
        <v>-25</v>
      </c>
      <c r="E24" s="20">
        <f t="shared" si="2"/>
        <v>-25</v>
      </c>
      <c r="F24" s="20">
        <f t="shared" si="2"/>
        <v>-25</v>
      </c>
      <c r="G24" s="20">
        <f t="shared" si="2"/>
        <v>-25</v>
      </c>
    </row>
    <row r="26" spans="1:8" ht="15" customHeight="1" x14ac:dyDescent="0.3">
      <c r="A26" s="10" t="s">
        <v>194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3">
      <c r="A27" s="19" t="s">
        <v>195</v>
      </c>
      <c r="B27" s="20">
        <f t="shared" ref="B27:G27" si="3">B12+B17+B24</f>
        <v>9</v>
      </c>
      <c r="C27" s="20">
        <f t="shared" si="3"/>
        <v>10.457743150684998</v>
      </c>
      <c r="D27" s="20">
        <f t="shared" si="3"/>
        <v>23.71857356164378</v>
      </c>
      <c r="E27" s="20">
        <f t="shared" si="3"/>
        <v>38.886859917808302</v>
      </c>
      <c r="F27" s="20">
        <f t="shared" si="3"/>
        <v>55.420074285479501</v>
      </c>
      <c r="G27" s="20">
        <f t="shared" si="3"/>
        <v>71.449819011117825</v>
      </c>
    </row>
    <row r="28" spans="1:8" ht="15" customHeight="1" x14ac:dyDescent="0.3">
      <c r="A28" s="3" t="s">
        <v>196</v>
      </c>
      <c r="B28" s="17">
        <v>20</v>
      </c>
      <c r="C28" s="22">
        <f>'Balance Sheet'!B7</f>
        <v>45</v>
      </c>
      <c r="D28" s="22">
        <f>'Balance Sheet'!C7</f>
        <v>55.457743150684998</v>
      </c>
      <c r="E28" s="22">
        <f>'Balance Sheet'!D7</f>
        <v>79.17631671232877</v>
      </c>
      <c r="F28" s="22">
        <f>'Balance Sheet'!E7</f>
        <v>118.06317663013706</v>
      </c>
      <c r="G28" s="22">
        <f>'Balance Sheet'!F7</f>
        <v>173.48325091561657</v>
      </c>
    </row>
    <row r="29" spans="1:8" ht="15" customHeight="1" x14ac:dyDescent="0.3">
      <c r="A29" s="19" t="s">
        <v>197</v>
      </c>
      <c r="B29" s="17">
        <v>45</v>
      </c>
      <c r="C29" s="29">
        <f>MAX(Assumptions!$B$19,C28+C27)</f>
        <v>55.457743150684998</v>
      </c>
      <c r="D29" s="29">
        <f>MAX(Assumptions!$B$19,D28+D27)</f>
        <v>79.17631671232877</v>
      </c>
      <c r="E29" s="29">
        <f>MAX(Assumptions!$B$19,E28+E27)</f>
        <v>118.06317663013706</v>
      </c>
      <c r="F29" s="29">
        <f>MAX(Assumptions!$B$19,F28+F27)</f>
        <v>173.48325091561657</v>
      </c>
      <c r="G29" s="29">
        <f>MAX(Assumptions!$B$19,G28+G27)</f>
        <v>244.93306992673439</v>
      </c>
    </row>
    <row r="31" spans="1:8" ht="15" customHeight="1" x14ac:dyDescent="0.3">
      <c r="A31" s="3" t="s">
        <v>198</v>
      </c>
      <c r="B31" s="18">
        <f>B12+ABS('Income Stmt'!B24)*(1-Assumptions!$B$13)</f>
        <v>92.5</v>
      </c>
      <c r="C31" s="18">
        <f>C12+ABS('Income Stmt'!C24)*(1-Assumptions!$B$13)</f>
        <v>94.810493150685005</v>
      </c>
      <c r="D31" s="18">
        <f>D12+ABS('Income Stmt'!D24)*(1-Assumptions!$B$13)</f>
        <v>108.7223835616438</v>
      </c>
      <c r="E31" s="18">
        <f>E12+ABS('Income Stmt'!E24)*(1-Assumptions!$B$13)</f>
        <v>124.81388991780832</v>
      </c>
      <c r="F31" s="18">
        <f>F12+ABS('Income Stmt'!F24)*(1-Assumptions!$B$13)</f>
        <v>141.77652524547952</v>
      </c>
      <c r="G31" s="18">
        <f>G12+ABS('Income Stmt'!G24)*(1-Assumptions!$B$13)</f>
        <v>158.62297259511786</v>
      </c>
    </row>
    <row r="32" spans="1:8" ht="15" customHeight="1" x14ac:dyDescent="0.3">
      <c r="A32" s="3" t="s">
        <v>199</v>
      </c>
      <c r="B32" s="18">
        <f t="shared" ref="B32:G32" si="4">B12+B15+B20+B21</f>
        <v>9</v>
      </c>
      <c r="C32" s="18">
        <f t="shared" si="4"/>
        <v>10.457743150684998</v>
      </c>
      <c r="D32" s="18">
        <f t="shared" si="4"/>
        <v>23.71857356164378</v>
      </c>
      <c r="E32" s="18">
        <f t="shared" si="4"/>
        <v>38.886859917808302</v>
      </c>
      <c r="F32" s="18">
        <f t="shared" si="4"/>
        <v>55.420074285479501</v>
      </c>
      <c r="G32" s="18">
        <f t="shared" si="4"/>
        <v>71.449819011117825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topLeftCell="A4" zoomScaleNormal="100" workbookViewId="0"/>
  </sheetViews>
  <sheetFormatPr defaultColWidth="8.6640625" defaultRowHeight="14.4" x14ac:dyDescent="0.3"/>
  <cols>
    <col min="1" max="1" width="34" customWidth="1"/>
    <col min="2" max="2" width="10.21875" customWidth="1"/>
    <col min="3" max="8" width="11" customWidth="1"/>
  </cols>
  <sheetData>
    <row r="1" spans="1:8" ht="17.25" customHeight="1" x14ac:dyDescent="0.3">
      <c r="A1" s="1" t="s">
        <v>200</v>
      </c>
    </row>
    <row r="2" spans="1:8" ht="15" customHeight="1" x14ac:dyDescent="0.3">
      <c r="A2" s="2" t="s">
        <v>201</v>
      </c>
    </row>
    <row r="4" spans="1:8" ht="15" customHeight="1" x14ac:dyDescent="0.3">
      <c r="A4" s="7"/>
      <c r="B4" s="8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</row>
    <row r="6" spans="1:8" ht="15" customHeight="1" x14ac:dyDescent="0.3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15" customHeight="1" x14ac:dyDescent="0.3">
      <c r="A7" s="3" t="s">
        <v>52</v>
      </c>
      <c r="B7" s="21" t="s">
        <v>203</v>
      </c>
      <c r="C7" s="21">
        <f>'Income Stmt'!C7/'Income Stmt'!B7-1</f>
        <v>0.12000000000000011</v>
      </c>
      <c r="D7" s="21">
        <f>'Income Stmt'!D7/'Income Stmt'!C7-1</f>
        <v>0.1100000000000001</v>
      </c>
      <c r="E7" s="21">
        <f>'Income Stmt'!E7/'Income Stmt'!D7-1</f>
        <v>0.10000000000000009</v>
      </c>
      <c r="F7" s="21">
        <f>'Income Stmt'!F7/'Income Stmt'!E7-1</f>
        <v>9.000000000000008E-2</v>
      </c>
      <c r="G7" s="21">
        <f>'Income Stmt'!G7/'Income Stmt'!F7-1</f>
        <v>8.0000000000000071E-2</v>
      </c>
    </row>
    <row r="8" spans="1:8" ht="15" customHeight="1" x14ac:dyDescent="0.3">
      <c r="A8" s="3" t="s">
        <v>88</v>
      </c>
      <c r="B8" s="21">
        <f>'Income Stmt'!B10/'Income Stmt'!B7</f>
        <v>0.28999999999999998</v>
      </c>
      <c r="C8" s="21">
        <f>'Income Stmt'!C10/'Income Stmt'!C7</f>
        <v>0.30000000000000004</v>
      </c>
      <c r="D8" s="21">
        <f>'Income Stmt'!D10/'Income Stmt'!D7</f>
        <v>0.30499999999999999</v>
      </c>
      <c r="E8" s="21">
        <f>'Income Stmt'!E10/'Income Stmt'!E7</f>
        <v>0.31000000000000011</v>
      </c>
      <c r="F8" s="21">
        <f>'Income Stmt'!F10/'Income Stmt'!F7</f>
        <v>0.31499999999999995</v>
      </c>
      <c r="G8" s="21">
        <f>'Income Stmt'!G10/'Income Stmt'!G7</f>
        <v>0.32</v>
      </c>
    </row>
    <row r="9" spans="1:8" ht="15" customHeight="1" x14ac:dyDescent="0.3">
      <c r="A9" s="3" t="s">
        <v>93</v>
      </c>
      <c r="B9" s="21">
        <f>'Income Stmt'!B16/'Income Stmt'!B7</f>
        <v>0.18</v>
      </c>
      <c r="C9" s="21">
        <f>'Income Stmt'!C16/'Income Stmt'!C7</f>
        <v>0.19200000000000006</v>
      </c>
      <c r="D9" s="21">
        <f>'Income Stmt'!D16/'Income Stmt'!D7</f>
        <v>0.19999999999999998</v>
      </c>
      <c r="E9" s="21">
        <f>'Income Stmt'!E16/'Income Stmt'!E7</f>
        <v>0.20700000000000013</v>
      </c>
      <c r="F9" s="21">
        <f>'Income Stmt'!F16/'Income Stmt'!F7</f>
        <v>0.21399999999999994</v>
      </c>
      <c r="G9" s="21">
        <f>'Income Stmt'!G16/'Income Stmt'!G7</f>
        <v>0.22</v>
      </c>
    </row>
    <row r="10" spans="1:8" ht="15" customHeight="1" x14ac:dyDescent="0.3">
      <c r="A10" s="3" t="s">
        <v>96</v>
      </c>
      <c r="B10" s="21">
        <f>'Income Stmt'!B20/'Income Stmt'!B7</f>
        <v>0.13</v>
      </c>
      <c r="C10" s="21">
        <f>'Income Stmt'!C20/'Income Stmt'!C7</f>
        <v>0.14400000000000007</v>
      </c>
      <c r="D10" s="21">
        <f>'Income Stmt'!D20/'Income Stmt'!D7</f>
        <v>0.15299999999999997</v>
      </c>
      <c r="E10" s="21">
        <f>'Income Stmt'!E20/'Income Stmt'!E7</f>
        <v>0.16100000000000012</v>
      </c>
      <c r="F10" s="21">
        <f>'Income Stmt'!F20/'Income Stmt'!F7</f>
        <v>0.16899999999999996</v>
      </c>
      <c r="G10" s="21">
        <f>'Income Stmt'!G20/'Income Stmt'!G7</f>
        <v>0.17599999999999999</v>
      </c>
    </row>
    <row r="11" spans="1:8" ht="15" customHeight="1" x14ac:dyDescent="0.3">
      <c r="A11" s="3" t="s">
        <v>103</v>
      </c>
      <c r="B11" s="21">
        <f>'Income Stmt'!B28/'Income Stmt'!B7</f>
        <v>7.7499999999999999E-2</v>
      </c>
      <c r="C11" s="21">
        <f>'Income Stmt'!C28/'Income Stmt'!C7</f>
        <v>9.2793526785714328E-2</v>
      </c>
      <c r="D11" s="21">
        <f>'Income Stmt'!D28/'Income Stmt'!D7</f>
        <v>0.10331278153153152</v>
      </c>
      <c r="E11" s="21">
        <f>'Income Stmt'!E28/'Income Stmt'!E7</f>
        <v>0.11240917134667143</v>
      </c>
      <c r="F11" s="21">
        <f>'Income Stmt'!F28/'Income Stmt'!F7</f>
        <v>0.12098469176909542</v>
      </c>
      <c r="G11" s="21">
        <f>'Income Stmt'!G28/'Income Stmt'!G7</f>
        <v>0.12840881473832544</v>
      </c>
    </row>
    <row r="13" spans="1:8" ht="15" customHeight="1" x14ac:dyDescent="0.3">
      <c r="A13" s="10" t="s">
        <v>204</v>
      </c>
      <c r="B13" s="11"/>
      <c r="C13" s="11"/>
      <c r="D13" s="11"/>
      <c r="E13" s="11"/>
      <c r="F13" s="11"/>
      <c r="G13" s="11"/>
      <c r="H13" s="11"/>
    </row>
    <row r="14" spans="1:8" ht="15" customHeight="1" x14ac:dyDescent="0.3">
      <c r="A14" s="3" t="s">
        <v>205</v>
      </c>
      <c r="B14" s="21">
        <f>'Income Stmt'!B28/'Balance Sheet'!B37</f>
        <v>0.14307692307692307</v>
      </c>
      <c r="C14" s="21">
        <f>'Income Stmt'!C28/'Balance Sheet'!C37</f>
        <v>0.16098123889510274</v>
      </c>
      <c r="D14" s="21">
        <f>'Income Stmt'!D28/'Balance Sheet'!D37</f>
        <v>0.1659338893698708</v>
      </c>
      <c r="E14" s="21">
        <f>'Income Stmt'!E28/'Balance Sheet'!E37</f>
        <v>0.16569210750199806</v>
      </c>
      <c r="F14" s="21">
        <f>'Income Stmt'!F28/'Balance Sheet'!F37</f>
        <v>0.16274722482191664</v>
      </c>
      <c r="G14" s="21">
        <f>'Income Stmt'!G28/'Balance Sheet'!G37</f>
        <v>0.15722249905361677</v>
      </c>
    </row>
    <row r="15" spans="1:8" ht="15" customHeight="1" x14ac:dyDescent="0.3">
      <c r="A15" s="3" t="s">
        <v>206</v>
      </c>
      <c r="B15" s="21">
        <f>'Income Stmt'!B28/'Balance Sheet'!B17</f>
        <v>7.7371048252911814E-2</v>
      </c>
      <c r="C15" s="21">
        <f>'Income Stmt'!C28/'Balance Sheet'!C17</f>
        <v>9.6157309140319308E-2</v>
      </c>
      <c r="D15" s="21">
        <f>'Income Stmt'!D28/'Balance Sheet'!D17</f>
        <v>0.10836129783196061</v>
      </c>
      <c r="E15" s="21">
        <f>'Income Stmt'!E28/'Balance Sheet'!E17</f>
        <v>0.11689886622962886</v>
      </c>
      <c r="F15" s="21">
        <f>'Income Stmt'!F28/'Balance Sheet'!F17</f>
        <v>0.12259930854011669</v>
      </c>
      <c r="G15" s="21">
        <f>'Income Stmt'!G28/'Balance Sheet'!G17</f>
        <v>0.12508846018901007</v>
      </c>
    </row>
    <row r="16" spans="1:8" ht="15" customHeight="1" x14ac:dyDescent="0.3">
      <c r="A16" s="3" t="s">
        <v>207</v>
      </c>
      <c r="B16" s="21">
        <f>'Income Stmt'!B20/('Balance Sheet'!B17-'Balance Sheet'!B23)</f>
        <v>0.16016427104722791</v>
      </c>
      <c r="C16" s="21">
        <f>'Income Stmt'!C20/('Balance Sheet'!C17-'Balance Sheet'!C23)</f>
        <v>0.18441932297823266</v>
      </c>
      <c r="D16" s="21">
        <f>'Income Stmt'!D20/('Balance Sheet'!D17-'Balance Sheet'!D23)</f>
        <v>0.19773982245759136</v>
      </c>
      <c r="E16" s="21">
        <f>'Income Stmt'!E20/('Balance Sheet'!E17-'Balance Sheet'!E23)</f>
        <v>0.20488426471565938</v>
      </c>
      <c r="F16" s="21">
        <f>'Income Stmt'!F20/('Balance Sheet'!F17-'Balance Sheet'!F23)</f>
        <v>0.2075153285150533</v>
      </c>
      <c r="G16" s="21">
        <f>'Income Stmt'!G20/('Balance Sheet'!G17-'Balance Sheet'!G23)</f>
        <v>0.20536329589975305</v>
      </c>
    </row>
    <row r="18" spans="1:8" ht="15" customHeight="1" x14ac:dyDescent="0.3">
      <c r="A18" s="10" t="s">
        <v>208</v>
      </c>
      <c r="B18" s="11"/>
      <c r="C18" s="11"/>
      <c r="D18" s="11"/>
      <c r="E18" s="11"/>
      <c r="F18" s="11"/>
      <c r="G18" s="11"/>
      <c r="H18" s="11"/>
    </row>
    <row r="19" spans="1:8" ht="15" customHeight="1" x14ac:dyDescent="0.3">
      <c r="A19" s="3" t="s">
        <v>209</v>
      </c>
      <c r="B19" s="30">
        <f>('Debt Schedule'!B11-'Balance Sheet'!B7)/'Income Stmt'!B16</f>
        <v>1.2037037037037037</v>
      </c>
      <c r="C19" s="30">
        <f>('Debt Schedule'!C11-'Balance Sheet'!C7)/'Income Stmt'!C16</f>
        <v>0.73274938654292976</v>
      </c>
      <c r="D19" s="30">
        <f>('Debt Schedule'!D11-'Balance Sheet'!D7)/'Income Stmt'!D16</f>
        <v>0.30716218419985536</v>
      </c>
      <c r="E19" s="30">
        <f>('Debt Schedule'!E11-'Balance Sheet'!E7)/'Income Stmt'!E16</f>
        <v>-0.10635033107486985</v>
      </c>
      <c r="F19" s="30">
        <f>('Debt Schedule'!F11-'Balance Sheet'!F7)/'Income Stmt'!F16</f>
        <v>-0.51456135676922643</v>
      </c>
      <c r="G19" s="30">
        <f>('Debt Schedule'!G11-'Balance Sheet'!G7)/'Income Stmt'!G16</f>
        <v>-0.91733433937279507</v>
      </c>
    </row>
    <row r="20" spans="1:8" ht="15" customHeight="1" x14ac:dyDescent="0.3">
      <c r="A20" s="3" t="s">
        <v>210</v>
      </c>
      <c r="B20" s="30">
        <f>'Income Stmt'!B16/'Debt Schedule'!B16</f>
        <v>6</v>
      </c>
      <c r="C20" s="30">
        <f>'Income Stmt'!C16/'Debt Schedule'!C16</f>
        <v>8.8221538461538493</v>
      </c>
      <c r="D20" s="30">
        <f>'Income Stmt'!D16/'Debt Schedule'!D16</f>
        <v>12.05527272727273</v>
      </c>
      <c r="E20" s="30">
        <f>'Income Stmt'!E16/'Debt Schedule'!E16</f>
        <v>16.774912000000015</v>
      </c>
      <c r="F20" s="30">
        <f>'Income Stmt'!F16/'Debt Schedule'!F16</f>
        <v>24.303825920000005</v>
      </c>
      <c r="G20" s="30">
        <f>'Income Stmt'!G16/'Debt Schedule'!G16</f>
        <v>37.777685299200016</v>
      </c>
    </row>
    <row r="21" spans="1:8" ht="15" customHeight="1" x14ac:dyDescent="0.3">
      <c r="A21" s="3" t="s">
        <v>211</v>
      </c>
      <c r="B21" s="30">
        <f>'Debt Schedule'!B11/'Balance Sheet'!B37</f>
        <v>0.53846153846153844</v>
      </c>
      <c r="C21" s="30">
        <f>'Debt Schedule'!C11/'Balance Sheet'!C37</f>
        <v>0.38723942820226032</v>
      </c>
      <c r="D21" s="30">
        <f>'Debt Schedule'!D11/'Balance Sheet'!D37</f>
        <v>0.26915273646941196</v>
      </c>
      <c r="E21" s="30">
        <f>'Debt Schedule'!E11/'Balance Sheet'!E37</f>
        <v>0.17964500185909218</v>
      </c>
      <c r="F21" s="30">
        <f>'Debt Schedule'!F11/'Balance Sheet'!F37</f>
        <v>0.11280620726504766</v>
      </c>
      <c r="G21" s="30">
        <f>'Debt Schedule'!G11/'Balance Sheet'!G37</f>
        <v>6.33803556333844E-2</v>
      </c>
    </row>
    <row r="23" spans="1:8" ht="15" customHeight="1" x14ac:dyDescent="0.3">
      <c r="A23" s="10" t="s">
        <v>212</v>
      </c>
      <c r="B23" s="11"/>
      <c r="C23" s="11"/>
      <c r="D23" s="11"/>
      <c r="E23" s="11"/>
      <c r="F23" s="11"/>
      <c r="G23" s="11"/>
      <c r="H23" s="11"/>
    </row>
    <row r="24" spans="1:8" ht="15" customHeight="1" x14ac:dyDescent="0.3">
      <c r="A24" s="3" t="s">
        <v>213</v>
      </c>
      <c r="B24" s="18">
        <f>'Cash Flow'!B31</f>
        <v>92.5</v>
      </c>
      <c r="C24" s="18">
        <f>'Cash Flow'!C31</f>
        <v>94.810493150685005</v>
      </c>
      <c r="D24" s="18">
        <f>'Cash Flow'!D31</f>
        <v>108.7223835616438</v>
      </c>
      <c r="E24" s="18">
        <f>'Cash Flow'!E31</f>
        <v>124.81388991780832</v>
      </c>
      <c r="F24" s="18">
        <f>'Cash Flow'!F31</f>
        <v>141.77652524547952</v>
      </c>
      <c r="G24" s="18">
        <f>'Cash Flow'!G31</f>
        <v>158.62297259511786</v>
      </c>
    </row>
    <row r="25" spans="1:8" ht="15" customHeight="1" x14ac:dyDescent="0.3">
      <c r="A25" s="3" t="s">
        <v>214</v>
      </c>
      <c r="B25" s="18">
        <f>'Cash Flow'!B32</f>
        <v>9</v>
      </c>
      <c r="C25" s="18">
        <f>'Cash Flow'!C32</f>
        <v>10.457743150684998</v>
      </c>
      <c r="D25" s="18">
        <f>'Cash Flow'!D32</f>
        <v>23.71857356164378</v>
      </c>
      <c r="E25" s="18">
        <f>'Cash Flow'!E32</f>
        <v>38.886859917808302</v>
      </c>
      <c r="F25" s="18">
        <f>'Cash Flow'!F32</f>
        <v>55.420074285479501</v>
      </c>
      <c r="G25" s="18">
        <f>'Cash Flow'!G32</f>
        <v>71.449819011117825</v>
      </c>
    </row>
    <row r="26" spans="1:8" ht="15" customHeight="1" x14ac:dyDescent="0.3">
      <c r="A26" s="3" t="s">
        <v>215</v>
      </c>
      <c r="B26" s="21">
        <f>ABS('PP&amp;E Schedule'!B8)/'Income Stmt'!B7</f>
        <v>0.05</v>
      </c>
      <c r="C26" s="21">
        <f>ABS('PP&amp;E Schedule'!C8)/'Income Stmt'!C7</f>
        <v>7.1999999999999995E-2</v>
      </c>
      <c r="D26" s="21">
        <f>ABS('PP&amp;E Schedule'!D8)/'Income Stmt'!D7</f>
        <v>6.8000000000000005E-2</v>
      </c>
      <c r="E26" s="21">
        <f>ABS('PP&amp;E Schedule'!E8)/'Income Stmt'!E7</f>
        <v>6.5000000000000002E-2</v>
      </c>
      <c r="F26" s="21">
        <f>ABS('PP&amp;E Schedule'!F8)/'Income Stmt'!F7</f>
        <v>6.2E-2</v>
      </c>
      <c r="G26" s="21">
        <f>ABS('PP&amp;E Schedule'!G8)/'Income Stmt'!G7</f>
        <v>0.06</v>
      </c>
    </row>
    <row r="27" spans="1:8" ht="15" customHeight="1" x14ac:dyDescent="0.3">
      <c r="A27" s="3" t="s">
        <v>216</v>
      </c>
      <c r="B27" s="21">
        <f>'Cash Flow'!B12/'Income Stmt'!B16</f>
        <v>0.73148148148148151</v>
      </c>
      <c r="C27" s="21">
        <f>'Cash Flow'!C12/'Income Stmt'!C16</f>
        <v>0.64981509758405387</v>
      </c>
      <c r="D27" s="21">
        <f>'Cash Flow'!D12/'Income Stmt'!D16</f>
        <v>0.66656701497240844</v>
      </c>
      <c r="E27" s="21">
        <f>'Cash Flow'!E12/'Income Stmt'!E16</f>
        <v>0.69015549945418908</v>
      </c>
      <c r="F27" s="21">
        <f>'Cash Flow'!F12/'Income Stmt'!F16</f>
        <v>0.7099033848387708</v>
      </c>
      <c r="G27" s="21">
        <f>'Cash Flow'!G12/'Income Stmt'!G16</f>
        <v>0.7266098850436099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Assumptions</vt:lpstr>
      <vt:lpstr>Income Stmt</vt:lpstr>
      <vt:lpstr>PP&amp;E Schedule</vt:lpstr>
      <vt:lpstr>Debt Schedule</vt:lpstr>
      <vt:lpstr>Working Capital</vt:lpstr>
      <vt:lpstr>Balance Sheet</vt:lpstr>
      <vt:lpstr>Cash Flow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</dc:creator>
  <dc:description/>
  <cp:lastModifiedBy>PREETHAM S</cp:lastModifiedBy>
  <cp:revision>0</cp:revision>
  <dcterms:created xsi:type="dcterms:W3CDTF">2026-06-21T18:11:16Z</dcterms:created>
  <dcterms:modified xsi:type="dcterms:W3CDTF">2026-06-21T20:40:14Z</dcterms:modified>
  <dc:language>en-US</dc:language>
</cp:coreProperties>
</file>